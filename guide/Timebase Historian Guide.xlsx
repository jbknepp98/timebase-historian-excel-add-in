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jeff/Documents/"/>
    </mc:Choice>
  </mc:AlternateContent>
  <xr:revisionPtr revIDLastSave="0" documentId="8_{62097C8F-E7D5-3949-89DE-47F9A2E25F02}" xr6:coauthVersionLast="47" xr6:coauthVersionMax="47" xr10:uidLastSave="{00000000-0000-0000-0000-000000000000}"/>
  <bookViews>
    <workbookView xWindow="0" yWindow="660" windowWidth="30240" windowHeight="18980" xr2:uid="{00000000-000D-0000-FFFF-FFFF00000000}"/>
  </bookViews>
  <sheets>
    <sheet name="Welcome" sheetId="2" r:id="rId1"/>
    <sheet name="Setup" sheetId="3" r:id="rId2"/>
    <sheet name="Functions" sheetId="4" r:id="rId3"/>
    <sheet name="1 Current value" sheetId="5" r:id="rId4"/>
    <sheet name="2 Find tags" sheetId="6" r:id="rId5"/>
    <sheet name="3 Raw history" sheetId="7" r:id="rId6"/>
    <sheet name="4 Aggregates" sheetId="8" r:id="rId7"/>
    <sheet name="5 State sampling" sheetId="9" r:id="rId8"/>
    <sheet name="6 Quality" sheetId="10" r:id="rId9"/>
    <sheet name="7 Tags from cells" sheetId="11" r:id="rId10"/>
    <sheet name="Time expressions" sheetId="12" r:id="rId11"/>
    <sheet name="Troubleshooting" sheetId="13" r:id="rId12"/>
    <sheet name="Learn more" sheetId="14" r:id="rId13"/>
  </sheets>
  <definedNames>
    <definedName name="Guide_AnalogTag" comment="Analog tag">Setup!$C$21</definedName>
    <definedName name="Guide_Dataset" comment="Dataset">Setup!$C$15</definedName>
    <definedName name="Guide_Query" comment="Query">'2 Find tags'!$C$7</definedName>
    <definedName name="Guide_Start" comment="Default start">Setup!$C$23</definedName>
    <definedName name="Guide_StateTags" comment="State tags (up to 3)">Setup!$C$17:$C$19</definedName>
    <definedName name="Guide_TagList" comment="Tag list">'7 Tags from cells'!$C$7:$C$9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1" l="1"/>
  <c r="F6" i="11" s="1" a="1"/>
  <c r="F6" i="11" s="1"/>
  <c r="C8" i="11"/>
  <c r="C9" i="11"/>
  <c r="F6" i="10" a="1"/>
  <c r="F6" i="10" s="1"/>
  <c r="F6" i="9" a="1"/>
  <c r="F6" i="9" s="1"/>
  <c r="O6" i="8" a="1"/>
  <c r="O6" i="8" s="1"/>
  <c r="L6" i="8" a="1"/>
  <c r="L6" i="8" s="1"/>
  <c r="I6" i="8" a="1"/>
  <c r="I6" i="8" s="1"/>
  <c r="F6" i="8" a="1"/>
  <c r="F6" i="8" s="1"/>
  <c r="F6" i="7" a="1"/>
  <c r="F6" i="7" s="1"/>
  <c r="F6" i="6" a="1"/>
  <c r="F6" i="6" s="1"/>
  <c r="F14" i="5" a="1"/>
  <c r="F14" i="5" s="1"/>
  <c r="F10" i="5" a="1"/>
  <c r="F10" i="5" s="1"/>
  <c r="F6" i="5" a="1"/>
  <c r="F6" i="5" s="1"/>
  <c r="L6" i="3" a="1"/>
  <c r="L6" i="3" s="1"/>
  <c r="F6" i="3" a="1"/>
  <c r="F6" i="3" s="1"/>
  <c r="F5" i="11"/>
  <c r="F5" i="10"/>
  <c r="F5" i="9"/>
  <c r="O5" i="8"/>
  <c r="L5" i="8"/>
  <c r="I5" i="8"/>
  <c r="F5" i="8"/>
  <c r="F5" i="7"/>
  <c r="F5" i="6"/>
  <c r="F13" i="5"/>
  <c r="F9" i="5"/>
  <c r="F5" i="5"/>
  <c r="L5" i="3"/>
  <c r="F5"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2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futureMetadata>
  <cellMetadata count="1">
    <bk>
      <rc t="1" v="0"/>
    </bk>
  </cellMetadata>
  <valueMetadata count="52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valueMetadata>
</metadata>
</file>

<file path=xl/sharedStrings.xml><?xml version="1.0" encoding="utf-8"?>
<sst xmlns="http://schemas.openxmlformats.org/spreadsheetml/2006/main" count="315" uniqueCount="298">
  <si>
    <t>Timebase Historian for Excel</t>
  </si>
  <si>
    <t>Getting-started guide 1.0 -- examples, reference and troubleshooting</t>
  </si>
  <si>
    <t>This add-in puts Timebase Historian data straight into worksheet formulas: current values, tag searches, time-aligned history, interval aggregates and state sampling. It only reads: it never writes a value, creates a tag or deletes anything on the Historian.</t>
  </si>
  <si>
    <t>Start here</t>
  </si>
  <si>
    <t>1. Open this workbook with the add-in installed. The Timebase Historian task pane opens on the right.</t>
  </si>
  <si>
    <t>2. In the task pane's Connect tab, check the Historian address and click Test connection.</t>
  </si>
  <si>
    <t>3. On the Setup sheet, replace the example dataset and tag names with your own.</t>
  </si>
  <si>
    <t>4. Work through the numbered example sheets. Every formula is live and updates from Setup.</t>
  </si>
  <si>
    <t>5. To add a formula to your own sheet, use the task pane's Insert tab.</t>
  </si>
  <si>
    <t>In this guide</t>
  </si>
  <si>
    <t>Sheet</t>
  </si>
  <si>
    <t>What it covers</t>
  </si>
  <si>
    <t>Setup</t>
  </si>
  <si>
    <t>Connecting, and the dataset and tag names every example uses</t>
  </si>
  <si>
    <t>Functions</t>
  </si>
  <si>
    <t>All five worksheet functions and every argument</t>
  </si>
  <si>
    <t>1 Current value</t>
  </si>
  <si>
    <t>TB.VALUE -- the latest value, raw or formatted with units and labels</t>
  </si>
  <si>
    <t>2 Find tags</t>
  </si>
  <si>
    <t>TB.TAGS -- search a dataset by name, description, data type</t>
  </si>
  <si>
    <t>3 Raw history</t>
  </si>
  <si>
    <t>TB.HISTORY -- every change, carried forward from your start time</t>
  </si>
  <si>
    <t>4 Aggregates</t>
  </si>
  <si>
    <t>TB.HISTORY with an interval -- time-weighted average, min, max, first, last</t>
  </si>
  <si>
    <t>5 State sampling</t>
  </si>
  <si>
    <t>TB.SAMPLE -- the value at each 5-minute mark, for state and enum tags</t>
  </si>
  <si>
    <t>6 Quality</t>
  </si>
  <si>
    <t>Quality, status, sample count and % Good columns; red quality issues</t>
  </si>
  <si>
    <t>7 Tags from cells</t>
  </si>
  <si>
    <t>Driving a formula from a list of tag names in cells</t>
  </si>
  <si>
    <t>Time expressions</t>
  </si>
  <si>
    <t>Start and end: relative expressions, dates, the date picker</t>
  </si>
  <si>
    <t>Troubleshooting</t>
  </si>
  <si>
    <t>What an error or odd result means, and the fix</t>
  </si>
  <si>
    <t>Learn more</t>
  </si>
  <si>
    <t>Documentation, tools and where to go next</t>
  </si>
  <si>
    <t>Four ideas that explain most results</t>
  </si>
  <si>
    <t>•  Values carry forward. A tag holds its last known value until it changes, so a 12:00 start shows the value in force at 12:00 even if nothing changed then.</t>
  </si>
  <si>
    <t>•  avg is a time-weighted average: each value counts for as long as it was in force in the slice.</t>
  </si>
  <si>
    <t>•  Red means a quality issue: the value's latest point was not Good quality (for example a quality-64 'collector disconnected' note). The value itself is still the last known one.</t>
  </si>
  <si>
    <t>•  Timestamps are real Excel dates shown as mm/dd/yy hh:mm:ss.000, in this computer's time zone.</t>
  </si>
  <si>
    <t>Connect once, then tell the examples which data to use</t>
  </si>
  <si>
    <t>1. Connect</t>
  </si>
  <si>
    <t>•  Recommended: the add-in server holds the Pulse credentials (node tools/set-credentials.js). The Connect tab then says 'Authentication is handled by the server' and Excel never stores a secret.</t>
  </si>
  <si>
    <t>•  Otherwise: in the Connect tab enter the Historian address, the Pulse client id and secret, then Test connection and Save.</t>
  </si>
  <si>
    <t>•  Test it here: the TB.DATASETS formula on the right should list your datasets.</t>
  </si>
  <si>
    <t>Datasets on this Historian</t>
  </si>
  <si>
    <t>2. Your data (replace the shaded cells)</t>
  </si>
  <si>
    <t>Every example in this guide reads these named cells. Type your own dataset and tags over the examples.</t>
  </si>
  <si>
    <t>Dataset</t>
  </si>
  <si>
    <t>state-example</t>
  </si>
  <si>
    <t>Exact dataset name, as TB.DATASETS lists it</t>
  </si>
  <si>
    <t>State tags (up to 3)</t>
  </si>
  <si>
    <t>FL001.State</t>
  </si>
  <si>
    <t>FL002.State</t>
  </si>
  <si>
    <t>FL003.State</t>
  </si>
  <si>
    <t>Discrete or enumerated tags: machine state, mode, status</t>
  </si>
  <si>
    <t>Analog tag</t>
  </si>
  <si>
    <t>131-TT-001.PV</t>
  </si>
  <si>
    <t>A continuous measurement: temperature, flow, pressure</t>
  </si>
  <si>
    <t>Default start</t>
  </si>
  <si>
    <t>-24h</t>
  </si>
  <si>
    <t>Relative (-24h, d, d+6h) or a date; see Time expressions</t>
  </si>
  <si>
    <t>3. Check the tags exist</t>
  </si>
  <si>
    <t>The second list on the right is TB.TAGS for your dataset. If a name above is not in it, the examples for that tag stay blank.</t>
  </si>
  <si>
    <t>Tags in your dataset</t>
  </si>
  <si>
    <t>Worksheet functions</t>
  </si>
  <si>
    <t>Arguments in [brackets] are optional. Leave a gap with two commas, e.g. =TB.HISTORY(ds, tag, "-1h",, "5m")</t>
  </si>
  <si>
    <t>Function</t>
  </si>
  <si>
    <t>Returns</t>
  </si>
  <si>
    <t>Use it for</t>
  </si>
  <si>
    <t>TB.DATASETS()</t>
  </si>
  <si>
    <t>Every dataset: name, tag count, size, data age</t>
  </si>
  <si>
    <t>Checking the connection; finding dataset names</t>
  </si>
  <si>
    <t>TB.TAGS(dataset, [query])</t>
  </si>
  <si>
    <t>Matching tags: name, description, type, unit, current value and time</t>
  </si>
  <si>
    <t>Finding tag names</t>
  </si>
  <si>
    <t>TB.VALUE(dataset, tag, [mode])</t>
  </si>
  <si>
    <t>One value: the latest</t>
  </si>
  <si>
    <t>A live KPI cell; mode "display" adds units and state labels</t>
  </si>
  <si>
    <t>TB.HISTORY(dataset, tags, [start], [end], [interval], [aggregate], [quality], [lookback], [novalue], [columns])</t>
  </si>
  <si>
    <t>Timestamp column, then one column per tag</t>
  </si>
  <si>
    <t>Raw history, or interval aggregates</t>
  </si>
  <si>
    <t>TB.SAMPLE(dataset, tags, start, [end], [interval], [mode], [quality], [integers], [lookback], [columns])</t>
  </si>
  <si>
    <t>Timestamp at each clock mark, then one column per tag</t>
  </si>
  <si>
    <t>State and enum tags: the value at 07:00, 07:05, ...</t>
  </si>
  <si>
    <t>TB.HISTORY arguments</t>
  </si>
  <si>
    <t>Argument</t>
  </si>
  <si>
    <t>Default</t>
  </si>
  <si>
    <t>Meaning</t>
  </si>
  <si>
    <t>dataset</t>
  </si>
  <si>
    <t>(required)</t>
  </si>
  <si>
    <t>Dataset name</t>
  </si>
  <si>
    <t>tags</t>
  </si>
  <si>
    <t>One name, an array {"a","b"}, or a range of cells holding names</t>
  </si>
  <si>
    <t>start</t>
  </si>
  <si>
    <t>latest value only</t>
  </si>
  <si>
    <t>Window start. The first row is the start itself, carrying each tag's last known value</t>
  </si>
  <si>
    <t>end</t>
  </si>
  <si>
    <t>now</t>
  </si>
  <si>
    <t>Window end</t>
  </si>
  <si>
    <t>interval</t>
  </si>
  <si>
    <t>raw (every change)</t>
  </si>
  <si>
    <t>Slice width: "30s", "5m", "1h", "1d"</t>
  </si>
  <si>
    <t>aggregate</t>
  </si>
  <si>
    <t>avg</t>
  </si>
  <si>
    <t>avg (time-weighted average, also "twa"), min, max, first, last, count, sum, range</t>
  </si>
  <si>
    <t>quality</t>
  </si>
  <si>
    <t>any</t>
  </si>
  <si>
    <t>any, notbad, or good. Filters points before anything else</t>
  </si>
  <si>
    <t>lookback</t>
  </si>
  <si>
    <t>"7d"</t>
  </si>
  <si>
    <t>How far back to look for the carried-in value if the Historian's prior value is missing</t>
  </si>
  <si>
    <t>novalue</t>
  </si>
  <si>
    <t>flag</t>
  </si>
  <si>
    <t>Points with no value (quality notes): flag keeps the row in red; drop leaves them out</t>
  </si>
  <si>
    <t>columns</t>
  </si>
  <si>
    <t>(none)</t>
  </si>
  <si>
    <t>Extra columns after each tag: quality, status, samples, good%</t>
  </si>
  <si>
    <t>TB.SAMPLE arguments (where they differ)</t>
  </si>
  <si>
    <t>Rows start at the first clock mark at or after it</t>
  </si>
  <si>
    <t>5 (minutes)</t>
  </si>
  <si>
    <t>A bare number is MINUTES here; or "30s", "15m", "1h", "1d"</t>
  </si>
  <si>
    <t>mode</t>
  </si>
  <si>
    <t>last</t>
  </si>
  <si>
    <t>Sample-and-hold: the last value at or before each mark</t>
  </si>
  <si>
    <t>good</t>
  </si>
  <si>
    <t>Non-good points are skipped and the previous good value holds</t>
  </si>
  <si>
    <t>integers</t>
  </si>
  <si>
    <t>6.0 reads as 6. FALSE keeps the stored type</t>
  </si>
  <si>
    <t>1  Current value</t>
  </si>
  <si>
    <t>TB.VALUE returns the latest value of one tag</t>
  </si>
  <si>
    <t>Raw (the default) returns the stored number, so charts and further formulas work on it.</t>
  </si>
  <si>
    <t>Raw</t>
  </si>
  <si>
    <t>mode "display" returns the Historian's formatted text: units appended, and state codes turned into their labels (20 becomes Running).</t>
  </si>
  <si>
    <t>Display</t>
  </si>
  <si>
    <t>An analog tag, with its unit</t>
  </si>
  <si>
    <t>Pointers</t>
  </si>
  <si>
    <t>•  Recalculate (Formulas &gt; Calculate Now) to refresh. TB.VALUE does not stream live updates.</t>
  </si>
  <si>
    <t>•  A tag with no unit or state labels returns the raw value in display mode too.</t>
  </si>
  <si>
    <t>2  Find tags</t>
  </si>
  <si>
    <t>TB.TAGS searches a dataset with the Historian's own filter language</t>
  </si>
  <si>
    <t>Type a query in the shaded cell; the list on the right follows it. Leave it blank to list every tag.</t>
  </si>
  <si>
    <t>Query</t>
  </si>
  <si>
    <t>name:*State</t>
  </si>
  <si>
    <t>Try: datatype:Double   or   description:Filler   or   NOT name:*State</t>
  </si>
  <si>
    <t>Matching tags</t>
  </si>
  <si>
    <t>Query language</t>
  </si>
  <si>
    <t>Finds</t>
  </si>
  <si>
    <t>name:FL001*</t>
  </si>
  <si>
    <t>Names starting FL001</t>
  </si>
  <si>
    <t>description:temperature</t>
  </si>
  <si>
    <t>Descriptions containing 'temperature'</t>
  </si>
  <si>
    <t>datatype:Double</t>
  </si>
  <si>
    <t>Floating-point tags</t>
  </si>
  <si>
    <t>name:*State AND description:Filler*</t>
  </si>
  <si>
    <t>Both conditions</t>
  </si>
  <si>
    <t>NOT name:Process.*</t>
  </si>
  <si>
    <t>Everything except the Historian's own process tags</t>
  </si>
  <si>
    <t>The task pane's Insert tab has the same search under + Add tags, with checkboxes to build a tag list.</t>
  </si>
  <si>
    <t>3  Raw history</t>
  </si>
  <si>
    <t>Every change, carried forward from your start time</t>
  </si>
  <si>
    <t>•  The first row is your start time itself, holding the value in force then -- even if nothing changed at that moment.</t>
  </si>
  <si>
    <t>•  After that, one row per change.</t>
  </si>
  <si>
    <t>•  A red value had a quality issue at that time; the value shown is the last known one carried through it.</t>
  </si>
  <si>
    <t>State tag, from the Setup start</t>
  </si>
  <si>
    <t>Try</t>
  </si>
  <si>
    <t>•  Change Guide_Start on Setup to d+6h (06:00 today) and watch the first row move.</t>
  </si>
  <si>
    <t>•  Several tags: replace INDEX(Guide_StateTags, 1) with Guide_StateTags. Every tag's changes interleave on one time axis.</t>
  </si>
  <si>
    <t>•  Analog tags change constantly: add an interval (sheet 4) before pulling a day of one.</t>
  </si>
  <si>
    <t>4  Aggregates</t>
  </si>
  <si>
    <t>An interval slices time; the aggregate decides what each slice shows</t>
  </si>
  <si>
    <t>•  avg is time-weighted: a value held 4 minutes weighs four times one held 1 minute.</t>
  </si>
  <si>
    <t>•  Every slice starts from the value held at its start, so a slice with no change shows that value, not a blank.</t>
  </si>
  <si>
    <t>•  first is the value at the slice start; last is the value at the slice end.</t>
  </si>
  <si>
    <t>Hourly time-weighted average</t>
  </si>
  <si>
    <t>Hourly minimum</t>
  </si>
  <si>
    <t>Hourly maximum</t>
  </si>
  <si>
    <t>Samples per hour</t>
  </si>
  <si>
    <t>•  The Historian has no server-side aggregation: the add-in fetches raw points and slices them. Wide ranges on fast tags take longer.</t>
  </si>
  <si>
    <t>•  A row limit (Connect tab) stops a formula that would produce too many rows; add or widen the interval.</t>
  </si>
  <si>
    <t>5  State sampling</t>
  </si>
  <si>
    <t>TB.SAMPLE: the value at each clock mark, for state and enum tags</t>
  </si>
  <si>
    <t>•  Averaging a state tag invents states (4.6 is not a valid state). TB.SAMPLE reports, at 07:00, 07:05, ..., the last value at or before that instant.</t>
  </si>
  <si>
    <t>•  Rows land on clock marks, never 07:03:12. Hourly and daily rows land on this computer's local hour and midnight.</t>
  </si>
  <si>
    <t>•  Values are whole numbers by default (6.0 reads 6). Bad-quality points are skipped and the previous good value holds.</t>
  </si>
  <si>
    <t>•  A state shorter than the interval can start and end between two marks and never appear. That is what snapshot sampling means.</t>
  </si>
  <si>
    <t>Every 5 minutes, all state tags</t>
  </si>
  <si>
    <t>•  15-minute rows: add ,,15 to the arguments -- =TB.SAMPLE(Guide_Dataset, Guide_StateTags, Guide_Start,, 15)</t>
  </si>
  <si>
    <t>•  In the Insert tab, choose Aggregate: Last value (step) to build these formulas.</t>
  </si>
  <si>
    <t>6  Quality</t>
  </si>
  <si>
    <t>Companion columns, red quality issues, and filtering</t>
  </si>
  <si>
    <t>Column</t>
  </si>
  <si>
    <t>Shows, over each row's range</t>
  </si>
  <si>
    <t>The worst OPC quality code (Bad &lt; Uncertain &lt; Good), counting the point in force at the range start</t>
  </si>
  <si>
    <t>status</t>
  </si>
  <si>
    <t>The same in words: Good / Uncertain: ... / Bad</t>
  </si>
  <si>
    <t>samples</t>
  </si>
  <si>
    <t>Points the Historian logged</t>
  </si>
  <si>
    <t>good%</t>
  </si>
  <si>
    <t>Share of those points with Good quality; blank when none were logged</t>
  </si>
  <si>
    <t>Hourly last value with all four columns</t>
  </si>
  <si>
    <t>Quality 64 notes</t>
  </si>
  <si>
    <t>•  The Historian writes a value-less quality-64 point on every tag a collector feeds when it loses the connection to that collector. Data buffered by the collector arrives afterwards as Good.</t>
  </si>
  <si>
    <t>•  Such a point keeps its row, carries the last value and shows red. Tick 'Drop rows that have no value' in the Insert tab, or pass "drop" as novalue, to leave them out.</t>
  </si>
  <si>
    <t>•  quality "good" filters out every non-good point before alignment, so the quality columns then always read Good.</t>
  </si>
  <si>
    <t>7  Tags from cells</t>
  </si>
  <si>
    <t>Point a formula at a range of tag names; edit the cells to change the tags</t>
  </si>
  <si>
    <t>The shaded cells below copy the Setup state tags. Type any other tag names over them, or clear one -- blank cells are skipped.</t>
  </si>
  <si>
    <t>Tag list</t>
  </si>
  <si>
    <t>One tag name per cell</t>
  </si>
  <si>
    <t>Current state of each listed tag, every 5 minutes</t>
  </si>
  <si>
    <t>In the Insert tab, choose Tags: Worksheet range, select the cells and click Use selected cells to build such a formula.</t>
  </si>
  <si>
    <t>start and end accept a relative expression, a date, or a cell holding a date</t>
  </si>
  <si>
    <t>You write</t>
  </si>
  <si>
    <t>Means</t>
  </si>
  <si>
    <t>24 hours ago</t>
  </si>
  <si>
    <t>-90m</t>
  </si>
  <si>
    <t>90 minutes ago (m = minutes, M = months)</t>
  </si>
  <si>
    <t>d</t>
  </si>
  <si>
    <t>Midnight today</t>
  </si>
  <si>
    <t>d+6h</t>
  </si>
  <si>
    <t>06:00 today</t>
  </si>
  <si>
    <t>d-1d</t>
  </si>
  <si>
    <t>Midnight yesterday</t>
  </si>
  <si>
    <t>h</t>
  </si>
  <si>
    <t>The top of the current hour</t>
  </si>
  <si>
    <t>w</t>
  </si>
  <si>
    <t>Midnight last Sunday</t>
  </si>
  <si>
    <t>M</t>
  </si>
  <si>
    <t>Midnight on the 1st of this month</t>
  </si>
  <si>
    <t>M-1M</t>
  </si>
  <si>
    <t>Midnight on the 1st of last month</t>
  </si>
  <si>
    <t>y</t>
  </si>
  <si>
    <t>Midnight on January 1st</t>
  </si>
  <si>
    <t>2026-10-22T07:00:00-04:00</t>
  </si>
  <si>
    <t>An exact instant, with its UTC offset</t>
  </si>
  <si>
    <t>A cell holding a date</t>
  </si>
  <si>
    <t>That date and time, on this computer's clock</t>
  </si>
  <si>
    <t>•  'Today', 'this week' and so on are this computer's, worked out by the add-in -- not the Historian server's, which often runs on UTC.</t>
  </si>
  <si>
    <t>•  In the Insert tab, the calendar button next to Start and End picks a date and time and writes the exact instant with your UTC offset.</t>
  </si>
  <si>
    <t>•  Leave end blank for 'now'. Leave start blank in TB.HISTORY for just the latest value.</t>
  </si>
  <si>
    <t>You see</t>
  </si>
  <si>
    <t>Likely cause</t>
  </si>
  <si>
    <t>Fix</t>
  </si>
  <si>
    <t>#VALUE! 'The Historian address is not set'</t>
  </si>
  <si>
    <t>Not connected yet</t>
  </si>
  <si>
    <t>Connect tab: enter the address (and credentials unless the server holds them), Test connection, Save</t>
  </si>
  <si>
    <t>#VALUE! 'Pulse did not issue a token' or a 401</t>
  </si>
  <si>
    <t>Wrong client id/secret, or the client's audiences do not include the Historian</t>
  </si>
  <si>
    <t>Fix the client in Pulse, then node tools/set-credentials.js (or the Connect tab)</t>
  </si>
  <si>
    <t>#VALUE! 'Could not reach the Historian'</t>
  </si>
  <si>
    <t>The add-in server (tools/serve.js) or the Historian is not running</t>
  </si>
  <si>
    <t>Start them; Test connection in the Connect tab</t>
  </si>
  <si>
    <t>#BUSY! that never clears</t>
  </si>
  <si>
    <t>The add-in's functions page did not start</t>
  </si>
  <si>
    <t>Close and reopen this workbook. Persisting: clear Excel's add-in cache (see README)</t>
  </si>
  <si>
    <t>#CALC!</t>
  </si>
  <si>
    <t>A list of tags passed where Excel expects one</t>
  </si>
  <si>
    <t>Use the latest add-in; pass tags as {"a","b"} or a range</t>
  </si>
  <si>
    <t>#SPILL!</t>
  </si>
  <si>
    <t>Cells below or right of the formula are not empty</t>
  </si>
  <si>
    <t>Clear the cells in the way, or move the formula</t>
  </si>
  <si>
    <t>A row-limit error</t>
  </si>
  <si>
    <t>The result would exceed the Connect tab's row limit</t>
  </si>
  <si>
    <t>Add or widen the interval, or narrow the range</t>
  </si>
  <si>
    <t>A column blank all the way down</t>
  </si>
  <si>
    <t>Wrong tag name, or the tag has no data in the window</t>
  </si>
  <si>
    <t>Check the name with TB.TAGS (sheet 2)</t>
  </si>
  <si>
    <t>Values in red</t>
  </si>
  <si>
    <t>A quality issue at that time (often a quality-64 collector-disconnected note)</t>
  </si>
  <si>
    <t>Expected. Use novalue "drop" or quality "good" to hide them</t>
  </si>
  <si>
    <t>Bursts of quality 64 on a laptop</t>
  </si>
  <si>
    <t>The computer slept; the Historian marked the collector disconnected on waking</t>
  </si>
  <si>
    <t>Keep the host awake during demos (caffeinate -s on a Mac)</t>
  </si>
  <si>
    <t>This add-in is no longer available'</t>
  </si>
  <si>
    <t>Excel cannot match this workbook to the installed add-in</t>
  </si>
  <si>
    <t>Reinstall with the current dist/manifest.xml; open the dist/Timebase Historian.xlsx launcher</t>
  </si>
  <si>
    <t>##########</t>
  </si>
  <si>
    <t>The column is too narrow for the timestamp</t>
  </si>
  <si>
    <t>Widen the column</t>
  </si>
  <si>
    <t>Where</t>
  </si>
  <si>
    <t>What</t>
  </si>
  <si>
    <t>README.md</t>
  </si>
  <si>
    <t>Install, sideload (Windows, Mac, web), every function with examples, troubleshooting</t>
  </si>
  <si>
    <t>docs/security.md</t>
  </si>
  <si>
    <t>Where the Pulse secret lives, and the server-held credentials mode</t>
  </si>
  <si>
    <t>docs/decisions.md</t>
  </si>
  <si>
    <t>Why the add-in is built the way it is (runtimes, bundling, no ribbon button)</t>
  </si>
  <si>
    <t>docs/api-contract.md</t>
  </si>
  <si>
    <t>Every Historian API behaviour the add-in depends on, verified live</t>
  </si>
  <si>
    <t>node tools/serve.js</t>
  </si>
  <si>
    <t>Runs the add-in and the same-origin proxy to the Historian and Pulse</t>
  </si>
  <si>
    <t>node tools/set-credentials.js</t>
  </si>
  <si>
    <t>Stores the Pulse client credentials for the server, out of Excel</t>
  </si>
  <si>
    <t>node tools/package.js &lt;host&gt;</t>
  </si>
  <si>
    <t>Builds dist/: the manifest, web files, this guide and the launcher</t>
  </si>
  <si>
    <t>Connect tab &gt; Getting started &gt; Add the getting-started guide recreates these sheets in any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</si>
</sst>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b/>
      <sz val="20"/>
      <color rgb="FF1A1F26"/>
      <name val="Aptos Narrow"/>
      <family val="2"/>
      <scheme val="minor"/>
    </font>
    <font>
      <sz val="12"/>
      <color rgb="FF5B6570"/>
      <name val="Aptos Narrow"/>
      <family val="2"/>
      <scheme val="minor"/>
    </font>
    <font>
      <b/>
      <sz val="14"/>
      <color rgb="FF0B7FB3"/>
      <name val="Aptos Narrow"/>
      <family val="2"/>
      <scheme val="minor"/>
    </font>
    <font>
      <b/>
      <sz val="12"/>
      <color rgb="FFFFFFFF"/>
      <name val="Aptos Narrow"/>
      <family val="2"/>
      <scheme val="minor"/>
    </font>
    <font>
      <b/>
      <sz val="12"/>
      <color rgb="FF0B7FB3"/>
      <name val="Aptos Narrow"/>
      <family val="2"/>
      <scheme val="minor"/>
    </font>
    <font>
      <sz val="10"/>
      <color rgb="FF5B6570"/>
      <name val="Menlo"/>
      <family val="2"/>
    </font>
    <font>
      <i/>
      <sz val="12"/>
      <color rgb="FF5B657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6F8B"/>
        <bgColor indexed="64"/>
      </patternFill>
    </fill>
    <fill>
      <patternFill patternType="solid">
        <fgColor rgb="FFFFF4C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D8DCE1"/>
      </left>
      <right style="thin">
        <color rgb="FFD8DCE1"/>
      </right>
      <top style="thin">
        <color rgb="FFD8DCE1"/>
      </top>
      <bottom style="thin">
        <color rgb="FFD8DC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5">
    <xf numFmtId="0" fontId="0" fillId="0" borderId="0" xfId="0"/>
    <xf numFmtId="0" fontId="0" fillId="0" borderId="0" xfId="0" applyAlignment="1">
      <alignment vertical="top"/>
    </xf>
    <xf numFmtId="0" fontId="19" fillId="0" borderId="0" xfId="0" applyFont="1" applyAlignment="1">
      <alignment vertical="top"/>
    </xf>
    <xf numFmtId="0" fontId="20" fillId="0" borderId="0" xfId="0" applyFont="1" applyAlignment="1">
      <alignment vertical="top" wrapText="1"/>
    </xf>
    <xf numFmtId="0" fontId="0" fillId="0" borderId="0" xfId="0" applyAlignment="1">
      <alignment vertical="top" wrapText="1"/>
    </xf>
    <xf numFmtId="0" fontId="21" fillId="0" borderId="0" xfId="0" applyFont="1" applyAlignment="1">
      <alignment vertical="top"/>
    </xf>
    <xf numFmtId="0" fontId="0" fillId="0" borderId="10" xfId="0" applyBorder="1" applyAlignment="1">
      <alignment vertical="top" wrapText="1"/>
    </xf>
    <xf numFmtId="0" fontId="22" fillId="33" borderId="10" xfId="0" applyFont="1" applyFill="1" applyBorder="1" applyAlignment="1">
      <alignment vertical="top" wrapText="1"/>
    </xf>
    <xf numFmtId="0" fontId="18" fillId="0" borderId="10" xfId="42" applyBorder="1" applyAlignment="1">
      <alignment vertical="top" wrapText="1"/>
    </xf>
    <xf numFmtId="0" fontId="16" fillId="0" borderId="0" xfId="0" applyFont="1" applyAlignment="1">
      <alignment vertical="top"/>
    </xf>
    <xf numFmtId="0" fontId="23" fillId="0" borderId="0" xfId="0" applyFont="1" applyAlignment="1">
      <alignment vertical="top"/>
    </xf>
    <xf numFmtId="0" fontId="24" fillId="0" borderId="0" xfId="0" applyFont="1" applyAlignment="1">
      <alignment vertical="top"/>
    </xf>
    <xf numFmtId="0" fontId="0" fillId="34" borderId="10" xfId="0" applyFill="1" applyBorder="1" applyAlignment="1">
      <alignment vertical="top"/>
    </xf>
    <xf numFmtId="0" fontId="25" fillId="0" borderId="0" xfId="0" applyFont="1" applyAlignment="1">
      <alignment vertical="top" wrapText="1"/>
    </xf>
    <xf numFmtId="0" fontId="0" fillId="0" borderId="10" xfId="0" quotePrefix="1" applyBorder="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 Target="richData/rdsupportingpropertybag.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4">
  <rv s="0">
    <fb>46317.64828947917</fb>
    <v>0</v>
  </rv>
  <rv s="0">
    <fb>46317.678983240738</fb>
    <v>0</v>
  </rv>
  <rv s="0">
    <fb>46317.667217418981</fb>
    <v>0</v>
  </rv>
  <rv s="0">
    <fb>46317.678995601847</fb>
    <v>0</v>
  </rv>
  <rv s="0">
    <fb>46317.639552337962</fb>
    <v>0</v>
  </rv>
  <rv s="0">
    <fb>46317.678989722219</fb>
    <v>0</v>
  </rv>
  <rv s="0">
    <fb>46317.677072499995</fb>
    <v>0</v>
  </rv>
  <rv s="0">
    <fb>46317.679006736114</fb>
    <v>0</v>
  </rv>
  <rv s="0">
    <fb>46316.730883078708</fb>
    <v>0</v>
  </rv>
  <rv s="0">
    <fb>46317.678922511579</fb>
    <v>0</v>
  </rv>
  <rv s="0">
    <fb>46316.731577696759</fb>
    <v>0</v>
  </rv>
  <rv s="0">
    <fb>46317.677930243051</fb>
    <v>0</v>
  </rv>
  <rv s="0">
    <fb>46317.605403391208</fb>
    <v>0</v>
  </rv>
  <rv s="0">
    <fb>46317.667115960649</fb>
    <v>0</v>
  </rv>
  <rv s="0">
    <fb>46316.730883090277</fb>
    <v>0</v>
  </rv>
  <rv s="0">
    <fb>46317.67900462963</fb>
    <v>0</v>
  </rv>
  <rv s="0">
    <fb>46317.678472222222</fb>
    <v>0</v>
  </rv>
  <rv s="0">
    <fb>46317.666666666672</fb>
    <v>0</v>
  </rv>
  <rv s="0">
    <fb>46316.73088314815</fb>
    <v>0</v>
  </rv>
  <rv s="0">
    <fb>46316.679009664353</fb>
    <v>0</v>
  </rv>
  <rv s="0">
    <fb>46316.684162361111</fb>
    <v>0</v>
  </rv>
  <rv s="0">
    <fb>46316.746659918979</fb>
    <v>0</v>
  </rv>
  <rv s="0">
    <fb>20</fb>
    <v>1</v>
  </rv>
  <rv s="0">
    <fb>46316.747847881939</fb>
    <v>0</v>
  </rv>
  <rv s="0">
    <fb>46316.780670879627</fb>
    <v>0</v>
  </rv>
  <rv s="0">
    <fb>46316.80122144676</fb>
    <v>0</v>
  </rv>
  <rv s="0">
    <fb>46316.829366423612</fb>
    <v>0</v>
  </rv>
  <rv s="0">
    <fb>46316.830403888889</fb>
    <v>0</v>
  </rv>
  <rv s="0">
    <fb>46316.853719224542</fb>
    <v>0</v>
  </rv>
  <rv s="0">
    <fb>46316.891065474541</fb>
    <v>0</v>
  </rv>
  <rv s="0">
    <fb>30</fb>
    <v>1</v>
  </rv>
  <rv s="0">
    <fb>46316.896541261573</fb>
    <v>0</v>
  </rv>
  <rv s="0">
    <fb>46316.909266226852</fb>
    <v>0</v>
  </rv>
  <rv s="0">
    <fb>46316.939652881949</fb>
    <v>0</v>
  </rv>
  <rv s="0">
    <fb>46317.000660833335</fb>
    <v>0</v>
  </rv>
  <rv s="0">
    <fb>46317.026748888893</fb>
    <v>0</v>
  </rv>
  <rv s="0">
    <fb>46317.052642812501</fb>
    <v>0</v>
  </rv>
  <rv s="0">
    <fb>46317.114138078701</fb>
    <v>0</v>
  </rv>
  <rv s="0">
    <fb>46317.155762060182</fb>
    <v>0</v>
  </rv>
  <rv s="0">
    <fb>46317.180164004632</fb>
    <v>0</v>
  </rv>
  <rv s="0">
    <fb>46317.207439166668</fb>
    <v>0</v>
  </rv>
  <rv s="0">
    <fb>46317.253257037039</fb>
    <v>0</v>
  </rv>
  <rv s="0">
    <fb>10</fb>
    <v>1</v>
  </rv>
  <rv s="0">
    <fb>46317.282849976851</fb>
    <v>0</v>
  </rv>
  <rv s="0">
    <fb>46317.303595231482</fb>
    <v>0</v>
  </rv>
  <rv s="0">
    <fb>46317.383570798615</fb>
    <v>0</v>
  </rv>
  <rv s="0">
    <fb>46317.399248622685</fb>
    <v>0</v>
  </rv>
  <rv s="0">
    <fb>46317.412689155091</fb>
    <v>0</v>
  </rv>
  <rv s="0">
    <fb>46317.422820428241</fb>
    <v>0</v>
  </rv>
  <rv s="0">
    <fb>0</fb>
    <v>1</v>
  </rv>
  <rv s="0">
    <fb>46317.439806469905</fb>
    <v>0</v>
  </rv>
  <rv s="0">
    <fb>46317.460821527777</fb>
    <v>0</v>
  </rv>
  <rv s="0">
    <fb>46317.512912824073</fb>
    <v>0</v>
  </rv>
  <rv s="0">
    <fb>46317.517545497685</fb>
    <v>0</v>
  </rv>
  <rv s="0">
    <fb>46317.554431099532</fb>
    <v>0</v>
  </rv>
  <rv s="0">
    <fb>46317.559443726852</fb>
    <v>0</v>
  </rv>
  <rv s="0">
    <fb>46317.589731747685</fb>
    <v>0</v>
  </rv>
  <rv s="0">
    <fb>46317.605376886575</fb>
    <v>0</v>
  </rv>
  <rv s="0">
    <fb>46317.607526851847</fb>
    <v>0</v>
  </rv>
  <rv s="0">
    <fb>46316.679009699074</fb>
    <v>0</v>
  </rv>
  <rv s="0">
    <fb>46316.67900956019</fb>
    <v>0</v>
  </rv>
  <rv s="0">
    <fb>46316.679009502317</fb>
    <v>0</v>
  </rv>
  <rv s="0">
    <fb>46316.720676365745</fb>
    <v>0</v>
  </rv>
  <rv s="0">
    <fb>61.288112283893142</fb>
    <v>1</v>
  </rv>
  <rv s="0">
    <fb>46316.720676226847</fb>
    <v>0</v>
  </rv>
  <rv s="0">
    <fb>44.116648766610162</fb>
    <v>1</v>
  </rv>
  <rv s="0">
    <fb>46316.720676331017</fb>
    <v>0</v>
  </rv>
  <rv s="0">
    <fb>65.449896638552559</fb>
    <v>1</v>
  </rv>
  <rv s="0">
    <fb>46316.720676168981</fb>
    <v>0</v>
  </rv>
  <rv s="0">
    <fb>2407</fb>
    <v>1</v>
  </rv>
  <rv s="0">
    <fb>46316.762343032402</fb>
    <v>0</v>
  </rv>
  <rv s="0">
    <fb>46316.762342893519</fb>
    <v>0</v>
  </rv>
  <rv s="0">
    <fb>46316.762342997681</fb>
    <v>0</v>
  </rv>
  <rv s="0">
    <fb>46316.762342835646</fb>
    <v>0</v>
  </rv>
  <rv s="0">
    <fb>46316.804009699074</fb>
    <v>0</v>
  </rv>
  <rv s="0">
    <fb>52.049877131259485</fb>
    <v>1</v>
  </rv>
  <rv s="0">
    <fb>46316.80400956019</fb>
    <v>0</v>
  </rv>
  <rv s="0">
    <fb>22.431090397793628</fb>
    <v>1</v>
  </rv>
  <rv s="0">
    <fb>46316.804009664353</fb>
    <v>0</v>
  </rv>
  <rv s="0">
    <fb>65.449185635126</fb>
    <v>1</v>
  </rv>
  <rv s="0">
    <fb>46316.804009502317</fb>
    <v>0</v>
  </rv>
  <rv s="0">
    <fb>2406</fb>
    <v>1</v>
  </rv>
  <rv s="0">
    <fb>46316.845676365745</fb>
    <v>0</v>
  </rv>
  <rv s="0">
    <fb>50.32338818848001</fb>
    <v>1</v>
  </rv>
  <rv s="0">
    <fb>46316.845676226847</fb>
    <v>0</v>
  </rv>
  <rv s="0">
    <fb>28.098038880877773</fb>
    <v>1</v>
  </rv>
  <rv s="0">
    <fb>46316.845676331017</fb>
    <v>0</v>
  </rv>
  <rv s="0">
    <fb>65.645075693663074</fb>
    <v>1</v>
  </rv>
  <rv s="0">
    <fb>46316.845676168981</fb>
    <v>0</v>
  </rv>
  <rv s="0">
    <fb>2398</fb>
    <v>1</v>
  </rv>
  <rv s="0">
    <fb>46316.887343032402</fb>
    <v>0</v>
  </rv>
  <rv s="0">
    <fb>26.3479914452797</fb>
    <v>1</v>
  </rv>
  <rv s="0">
    <fb>46316.887342893519</fb>
    <v>0</v>
  </rv>
  <rv s="0">
    <fb>17.142064289888047</fb>
    <v>1</v>
  </rv>
  <rv s="0">
    <fb>46316.887342997681</fb>
    <v>0</v>
  </rv>
  <rv s="0">
    <fb>48.817453720403684</fb>
    <v>1</v>
  </rv>
  <rv s="0">
    <fb>46316.887342835646</fb>
    <v>0</v>
  </rv>
  <rv s="0">
    <fb>2403</fb>
    <v>1</v>
  </rv>
  <rv s="0">
    <fb>46316.929009699074</fb>
    <v>0</v>
  </rv>
  <rv s="0">
    <fb>46316.92900956019</fb>
    <v>0</v>
  </rv>
  <rv s="0">
    <fb>46316.929009664353</fb>
    <v>0</v>
  </rv>
  <rv s="0">
    <fb>46316.929009502317</fb>
    <v>0</v>
  </rv>
  <rv s="0">
    <fb>46316.970676365745</fb>
    <v>0</v>
  </rv>
  <rv s="0">
    <fb>46316.970676226847</fb>
    <v>0</v>
  </rv>
  <rv s="0">
    <fb>46316.970676331017</fb>
    <v>0</v>
  </rv>
  <rv s="0">
    <fb>46316.970676168981</fb>
    <v>0</v>
  </rv>
  <rv s="0">
    <fb>46317.012343032402</fb>
    <v>0</v>
  </rv>
  <rv s="0">
    <fb>46317.012342893519</fb>
    <v>0</v>
  </rv>
  <rv s="0">
    <fb>46317.012342997681</fb>
    <v>0</v>
  </rv>
  <rv s="0">
    <fb>46317.012342835646</fb>
    <v>0</v>
  </rv>
  <rv s="0">
    <fb>46317.054009699074</fb>
    <v>0</v>
  </rv>
  <rv s="0">
    <fb>46317.05400956019</fb>
    <v>0</v>
  </rv>
  <rv s="0">
    <fb>46317.054009664353</fb>
    <v>0</v>
  </rv>
  <rv s="0">
    <fb>46317.054009502317</fb>
    <v>0</v>
  </rv>
  <rv s="0">
    <fb>46317.095676365745</fb>
    <v>0</v>
  </rv>
  <rv s="0">
    <fb>46317.095676226847</fb>
    <v>0</v>
  </rv>
  <rv s="0">
    <fb>46317.095676331017</fb>
    <v>0</v>
  </rv>
  <rv s="0">
    <fb>46317.095676168981</fb>
    <v>0</v>
  </rv>
  <rv s="0">
    <fb>46317.137343032402</fb>
    <v>0</v>
  </rv>
  <rv s="0">
    <fb>46317.137342893519</fb>
    <v>0</v>
  </rv>
  <rv s="0">
    <fb>46317.137342997681</fb>
    <v>0</v>
  </rv>
  <rv s="0">
    <fb>46317.137342835646</fb>
    <v>0</v>
  </rv>
  <rv s="0">
    <fb>46317.179009699074</fb>
    <v>0</v>
  </rv>
  <rv s="0">
    <fb>46317.17900956019</fb>
    <v>0</v>
  </rv>
  <rv s="0">
    <fb>46317.179009664353</fb>
    <v>0</v>
  </rv>
  <rv s="0">
    <fb>46317.179009502317</fb>
    <v>0</v>
  </rv>
  <rv s="0">
    <fb>46317.220676365745</fb>
    <v>0</v>
  </rv>
  <rv s="0">
    <fb>39.30206258190546</fb>
    <v>1</v>
  </rv>
  <rv s="0">
    <fb>46317.220676226847</fb>
    <v>0</v>
  </rv>
  <rv s="0">
    <fb>26.010420548008071</fb>
    <v>1</v>
  </rv>
  <rv s="0">
    <fb>46317.220676331017</fb>
    <v>0</v>
  </rv>
  <rv s="0">
    <fb>52.657302889182851</fb>
    <v>1</v>
  </rv>
  <rv s="0">
    <fb>46317.220676168981</fb>
    <v>0</v>
  </rv>
  <rv s="0">
    <fb>2394</fb>
    <v>1</v>
  </rv>
  <rv s="0">
    <fb>46317.262343032402</fb>
    <v>0</v>
  </rv>
  <rv s="0">
    <fb>61.660991758359458</fb>
    <v>1</v>
  </rv>
  <rv s="0">
    <fb>46317.262342893519</fb>
    <v>0</v>
  </rv>
  <rv s="0">
    <fb>51.671739986768785</fb>
    <v>1</v>
  </rv>
  <rv s="0">
    <fb>46317.262342997681</fb>
    <v>0</v>
  </rv>
  <rv s="0">
    <fb>65.449128308258011</fb>
    <v>1</v>
  </rv>
  <rv s="0">
    <fb>46317.262342835646</fb>
    <v>0</v>
  </rv>
  <rv s="0">
    <fb>2404</fb>
    <v>1</v>
  </rv>
  <rv s="0">
    <fb>46317.304009699074</fb>
    <v>0</v>
  </rv>
  <rv s="0">
    <fb>64.788155820210235</fb>
    <v>1</v>
  </rv>
  <rv s="0">
    <fb>46317.30400956019</fb>
    <v>0</v>
  </rv>
  <rv s="0">
    <fb>64.15085978174973</fb>
    <v>1</v>
  </rv>
  <rv s="0">
    <fb>46317.304009664353</fb>
    <v>0</v>
  </rv>
  <rv s="0">
    <fb>65.449513698094691</fb>
    <v>1</v>
  </rv>
  <rv s="0">
    <fb>46317.304009502317</fb>
    <v>0</v>
  </rv>
  <rv s="0">
    <fb>2405</fb>
    <v>1</v>
  </rv>
  <rv s="0">
    <fb>46317.345676365745</fb>
    <v>0</v>
  </rv>
  <rv s="0">
    <fb>64.583338677732314</fb>
    <v>1</v>
  </rv>
  <rv s="0">
    <fb>46317.345676226847</fb>
    <v>0</v>
  </rv>
  <rv s="0">
    <fb>58.992944977637556</fb>
    <v>1</v>
  </rv>
  <rv s="0">
    <fb>46317.345676331017</fb>
    <v>0</v>
  </rv>
  <rv s="0">
    <fb>65.568782329424025</fb>
    <v>1</v>
  </rv>
  <rv s="0">
    <fb>46317.345676168981</fb>
    <v>0</v>
  </rv>
  <rv s="0">
    <fb>2397</fb>
    <v>1</v>
  </rv>
  <rv s="0">
    <fb>46317.387343032402</fb>
    <v>0</v>
  </rv>
  <rv s="0">
    <fb>30.709323846716746</fb>
    <v>1</v>
  </rv>
  <rv s="0">
    <fb>46317.387342893519</fb>
    <v>0</v>
  </rv>
  <rv s="0">
    <fb>17.500611895466282</fb>
    <v>1</v>
  </rv>
  <rv s="0">
    <fb>46317.387342997681</fb>
    <v>0</v>
  </rv>
  <rv s="0">
    <fb>59.460879712856418</fb>
    <v>1</v>
  </rv>
  <rv s="0">
    <fb>46317.387342835646</fb>
    <v>0</v>
  </rv>
  <rv s="0">
    <fb>2395</fb>
    <v>1</v>
  </rv>
  <rv s="0">
    <fb>46317.429009699074</fb>
    <v>0</v>
  </rv>
  <rv s="0">
    <fb>25.614111539213791</fb>
    <v>1</v>
  </rv>
  <rv s="0">
    <fb>46317.42900956019</fb>
    <v>0</v>
  </rv>
  <rv s="0">
    <fb>17.507181972722769</fb>
    <v>1</v>
  </rv>
  <rv s="0">
    <fb>46317.429009664353</fb>
    <v>0</v>
  </rv>
  <rv s="0">
    <fb>38.347729327325624</fb>
    <v>1</v>
  </rv>
  <rv s="0">
    <fb>46317.429009502317</fb>
    <v>0</v>
  </rv>
  <rv s="0">
    <fb>2408</fb>
    <v>1</v>
  </rv>
  <rv s="0">
    <fb>46317.470676365745</fb>
    <v>0</v>
  </rv>
  <rv s="0">
    <fb>51.266242670223548</fb>
    <v>1</v>
  </rv>
  <rv s="0">
    <fb>46317.470676226847</fb>
    <v>0</v>
  </rv>
  <rv s="0">
    <fb>37.598253114697762</fb>
    <v>1</v>
  </rv>
  <rv s="0">
    <fb>46317.470676331017</fb>
    <v>0</v>
  </rv>
  <rv s="0">
    <fb>64.952159973928985</fb>
    <v>1</v>
  </rv>
  <rv s="0">
    <fb>46317.470676168981</fb>
    <v>0</v>
  </rv>
  <rv s="0">
    <fb>2400</fb>
    <v>1</v>
  </rv>
  <rv s="0">
    <fb>46317.512343032402</fb>
    <v>0</v>
  </rv>
  <rv s="0">
    <fb>64.800638202080293</fb>
    <v>1</v>
  </rv>
  <rv s="0">
    <fb>46317.512342893519</fb>
    <v>0</v>
  </rv>
  <rv s="0">
    <fb>63.933142806227458</fb>
    <v>1</v>
  </rv>
  <rv s="0">
    <fb>46317.512342997681</fb>
    <v>0</v>
  </rv>
  <rv s="0">
    <fb>65.449421290767518</fb>
    <v>1</v>
  </rv>
  <rv s="0">
    <fb>46317.512342835646</fb>
    <v>0</v>
  </rv>
  <rv s="0">
    <fb>46317.554009699074</fb>
    <v>0</v>
  </rv>
  <rv s="0">
    <fb>38.41295041005413</fb>
    <v>1</v>
  </rv>
  <rv s="0">
    <fb>46317.55400956019</fb>
    <v>0</v>
  </rv>
  <rv s="0">
    <fb>17.50018753665357</fb>
    <v>1</v>
  </rv>
  <rv s="0">
    <fb>46317.554009664353</fb>
    <v>0</v>
  </rv>
  <rv s="0">
    <fb>65.422541898695201</fb>
    <v>1</v>
  </rv>
  <rv s="0">
    <fb>46317.554009502317</fb>
    <v>0</v>
  </rv>
  <rv s="0">
    <fb>2401</fb>
    <v>1</v>
  </rv>
  <rv s="0">
    <fb>46317.595676365745</fb>
    <v>0</v>
  </rv>
  <rv s="0">
    <fb>30.333392568237933</fb>
    <v>1</v>
  </rv>
  <rv s="0">
    <fb>46317.595676226847</fb>
    <v>0</v>
  </rv>
  <rv s="0">
    <fb>17.500802496881882</fb>
    <v>1</v>
  </rv>
  <rv s="0">
    <fb>46317.595676331017</fb>
    <v>0</v>
  </rv>
  <rv s="0">
    <fb>52.892019214950629</fb>
    <v>1</v>
  </rv>
  <rv s="0">
    <fb>46317.595676168981</fb>
    <v>0</v>
  </rv>
  <rv s="0">
    <fb>46317.637343032402</fb>
    <v>0</v>
  </rv>
  <rv s="0">
    <fb>46317.637342893519</fb>
    <v>0</v>
  </rv>
  <rv s="0">
    <fb>46317.637342997681</fb>
    <v>0</v>
  </rv>
  <rv s="0">
    <fb>46317.637342835646</fb>
    <v>0</v>
  </rv>
  <rv s="0">
    <fb>46316.680555555555</fb>
    <v>0</v>
  </rv>
  <rv s="0">
    <fb>46316.684027777781</fb>
    <v>0</v>
  </rv>
  <rv s="0">
    <fb>46316.6875</fb>
    <v>0</v>
  </rv>
  <rv s="0">
    <fb>46316.690972222219</fb>
    <v>0</v>
  </rv>
  <rv s="0">
    <fb>46316.694444444445</fb>
    <v>0</v>
  </rv>
  <rv s="0">
    <fb>46316.697916666672</fb>
    <v>0</v>
  </rv>
  <rv s="0">
    <fb>46316.701388888891</fb>
    <v>0</v>
  </rv>
  <rv s="0">
    <fb>46316.704861111109</fb>
    <v>0</v>
  </rv>
  <rv s="0">
    <fb>46316.708333333328</fb>
    <v>0</v>
  </rv>
  <rv s="0">
    <fb>46316.711805555555</fb>
    <v>0</v>
  </rv>
  <rv s="0">
    <fb>46316.715277777781</fb>
    <v>0</v>
  </rv>
  <rv s="0">
    <fb>46316.71875</fb>
    <v>0</v>
  </rv>
  <rv s="0">
    <fb>46316.722222222219</fb>
    <v>0</v>
  </rv>
  <rv s="0">
    <fb>46316.725694444445</fb>
    <v>0</v>
  </rv>
  <rv s="0">
    <fb>46316.729166666672</fb>
    <v>0</v>
  </rv>
  <rv s="0">
    <fb>46316.732638888891</fb>
    <v>0</v>
  </rv>
  <rv s="0">
    <fb>46316.736111111109</fb>
    <v>0</v>
  </rv>
  <rv s="0">
    <fb>46316.739583333328</fb>
    <v>0</v>
  </rv>
  <rv s="0">
    <fb>46316.743055555555</fb>
    <v>0</v>
  </rv>
  <rv s="0">
    <fb>46316.746527777781</fb>
    <v>0</v>
  </rv>
  <rv s="0">
    <fb>46316.75</fb>
    <v>0</v>
  </rv>
  <rv s="0">
    <fb>46316.753472222219</fb>
    <v>0</v>
  </rv>
  <rv s="0">
    <fb>46316.756944444445</fb>
    <v>0</v>
  </rv>
  <rv s="0">
    <fb>46316.760416666672</fb>
    <v>0</v>
  </rv>
  <rv s="0">
    <fb>46316.763888888891</fb>
    <v>0</v>
  </rv>
  <rv s="0">
    <fb>46316.767361111109</fb>
    <v>0</v>
  </rv>
  <rv s="0">
    <fb>46316.770833333328</fb>
    <v>0</v>
  </rv>
  <rv s="0">
    <fb>46316.774305555555</fb>
    <v>0</v>
  </rv>
  <rv s="0">
    <fb>46316.777777777781</fb>
    <v>0</v>
  </rv>
  <rv s="0">
    <fb>46316.78125</fb>
    <v>0</v>
  </rv>
  <rv s="0">
    <fb>46316.784722222219</fb>
    <v>0</v>
  </rv>
  <rv s="0">
    <fb>46316.788194444445</fb>
    <v>0</v>
  </rv>
  <rv s="0">
    <fb>46316.791666666672</fb>
    <v>0</v>
  </rv>
  <rv s="0">
    <fb>46316.795138888891</fb>
    <v>0</v>
  </rv>
  <rv s="0">
    <fb>46316.798611111109</fb>
    <v>0</v>
  </rv>
  <rv s="0">
    <fb>46316.802083333328</fb>
    <v>0</v>
  </rv>
  <rv s="0">
    <fb>46316.805555555555</fb>
    <v>0</v>
  </rv>
  <rv s="0">
    <fb>46316.809027777781</fb>
    <v>0</v>
  </rv>
  <rv s="0">
    <fb>46316.8125</fb>
    <v>0</v>
  </rv>
  <rv s="0">
    <fb>46316.815972222219</fb>
    <v>0</v>
  </rv>
  <rv s="0">
    <fb>46316.819444444445</fb>
    <v>0</v>
  </rv>
  <rv s="0">
    <fb>46316.822916666672</fb>
    <v>0</v>
  </rv>
  <rv s="0">
    <fb>46316.826388888891</fb>
    <v>0</v>
  </rv>
  <rv s="0">
    <fb>46316.829861111109</fb>
    <v>0</v>
  </rv>
  <rv s="0">
    <fb>46316.833333333328</fb>
    <v>0</v>
  </rv>
  <rv s="0">
    <fb>46316.836805555555</fb>
    <v>0</v>
  </rv>
  <rv s="0">
    <fb>46316.840277777781</fb>
    <v>0</v>
  </rv>
  <rv s="0">
    <fb>46316.84375</fb>
    <v>0</v>
  </rv>
  <rv s="0">
    <fb>46316.847222222219</fb>
    <v>0</v>
  </rv>
  <rv s="0">
    <fb>46316.850694444445</fb>
    <v>0</v>
  </rv>
  <rv s="0">
    <fb>46316.854166666672</fb>
    <v>0</v>
  </rv>
  <rv s="0">
    <fb>46316.857638888891</fb>
    <v>0</v>
  </rv>
  <rv s="0">
    <fb>46316.861111111109</fb>
    <v>0</v>
  </rv>
  <rv s="0">
    <fb>46316.864583333328</fb>
    <v>0</v>
  </rv>
  <rv s="0">
    <fb>46316.868055555555</fb>
    <v>0</v>
  </rv>
  <rv s="0">
    <fb>46316.871527777781</fb>
    <v>0</v>
  </rv>
  <rv s="0">
    <fb>46316.875</fb>
    <v>0</v>
  </rv>
  <rv s="0">
    <fb>46316.878472222219</fb>
    <v>0</v>
  </rv>
  <rv s="0">
    <fb>46316.881944444445</fb>
    <v>0</v>
  </rv>
  <rv s="0">
    <fb>46316.885416666672</fb>
    <v>0</v>
  </rv>
  <rv s="0">
    <fb>46316.888888888891</fb>
    <v>0</v>
  </rv>
  <rv s="0">
    <fb>46316.892361111109</fb>
    <v>0</v>
  </rv>
  <rv s="0">
    <fb>46316.895833333328</fb>
    <v>0</v>
  </rv>
  <rv s="0">
    <fb>46316.899305555555</fb>
    <v>0</v>
  </rv>
  <rv s="0">
    <fb>46316.902777777781</fb>
    <v>0</v>
  </rv>
  <rv s="0">
    <fb>46316.90625</fb>
    <v>0</v>
  </rv>
  <rv s="0">
    <fb>46316.909722222219</fb>
    <v>0</v>
  </rv>
  <rv s="0">
    <fb>46316.913194444445</fb>
    <v>0</v>
  </rv>
  <rv s="0">
    <fb>46316.916666666672</fb>
    <v>0</v>
  </rv>
  <rv s="0">
    <fb>46316.920138888891</fb>
    <v>0</v>
  </rv>
  <rv s="0">
    <fb>46316.923611111109</fb>
    <v>0</v>
  </rv>
  <rv s="0">
    <fb>46316.927083333328</fb>
    <v>0</v>
  </rv>
  <rv s="0">
    <fb>46316.930555555555</fb>
    <v>0</v>
  </rv>
  <rv s="0">
    <fb>46316.934027777781</fb>
    <v>0</v>
  </rv>
  <rv s="0">
    <fb>46316.9375</fb>
    <v>0</v>
  </rv>
  <rv s="0">
    <fb>46316.940972222219</fb>
    <v>0</v>
  </rv>
  <rv s="0">
    <fb>46316.944444444445</fb>
    <v>0</v>
  </rv>
  <rv s="0">
    <fb>46316.947916666672</fb>
    <v>0</v>
  </rv>
  <rv s="0">
    <fb>46316.951388888891</fb>
    <v>0</v>
  </rv>
  <rv s="0">
    <fb>46316.954861111109</fb>
    <v>0</v>
  </rv>
  <rv s="0">
    <fb>46316.958333333328</fb>
    <v>0</v>
  </rv>
  <rv s="0">
    <fb>46316.961805555555</fb>
    <v>0</v>
  </rv>
  <rv s="0">
    <fb>46316.965277777781</fb>
    <v>0</v>
  </rv>
  <rv s="0">
    <fb>46316.96875</fb>
    <v>0</v>
  </rv>
  <rv s="0">
    <fb>46316.972222222219</fb>
    <v>0</v>
  </rv>
  <rv s="0">
    <fb>46316.975694444445</fb>
    <v>0</v>
  </rv>
  <rv s="0">
    <fb>46316.979166666672</fb>
    <v>0</v>
  </rv>
  <rv s="0">
    <fb>46316.982638888891</fb>
    <v>0</v>
  </rv>
  <rv s="0">
    <fb>46316.986111111109</fb>
    <v>0</v>
  </rv>
  <rv s="0">
    <fb>46316.989583333328</fb>
    <v>0</v>
  </rv>
  <rv s="0">
    <fb>46316.993055555555</fb>
    <v>0</v>
  </rv>
  <rv s="0">
    <fb>46316.996527777781</fb>
    <v>0</v>
  </rv>
  <rv s="0">
    <fb>46317</fb>
    <v>0</v>
  </rv>
  <rv s="0">
    <fb>46317.003472222219</fb>
    <v>0</v>
  </rv>
  <rv s="0">
    <fb>46317.006944444445</fb>
    <v>0</v>
  </rv>
  <rv s="0">
    <fb>46317.010416666672</fb>
    <v>0</v>
  </rv>
  <rv s="0">
    <fb>46317.013888888891</fb>
    <v>0</v>
  </rv>
  <rv s="0">
    <fb>46317.017361111109</fb>
    <v>0</v>
  </rv>
  <rv s="0">
    <fb>46317.020833333328</fb>
    <v>0</v>
  </rv>
  <rv s="0">
    <fb>46317.024305555555</fb>
    <v>0</v>
  </rv>
  <rv s="0">
    <fb>46317.027777777781</fb>
    <v>0</v>
  </rv>
  <rv s="0">
    <fb>46317.03125</fb>
    <v>0</v>
  </rv>
  <rv s="0">
    <fb>46317.034722222219</fb>
    <v>0</v>
  </rv>
  <rv s="0">
    <fb>46317.038194444445</fb>
    <v>0</v>
  </rv>
  <rv s="0">
    <fb>46317.041666666672</fb>
    <v>0</v>
  </rv>
  <rv s="0">
    <fb>46317.045138888891</fb>
    <v>0</v>
  </rv>
  <rv s="0">
    <fb>46317.048611111109</fb>
    <v>0</v>
  </rv>
  <rv s="0">
    <fb>46317.052083333328</fb>
    <v>0</v>
  </rv>
  <rv s="0">
    <fb>46317.055555555555</fb>
    <v>0</v>
  </rv>
  <rv s="0">
    <fb>46317.059027777781</fb>
    <v>0</v>
  </rv>
  <rv s="0">
    <fb>46317.0625</fb>
    <v>0</v>
  </rv>
  <rv s="0">
    <fb>46317.065972222219</fb>
    <v>0</v>
  </rv>
  <rv s="0">
    <fb>46317.069444444445</fb>
    <v>0</v>
  </rv>
  <rv s="0">
    <fb>46317.072916666672</fb>
    <v>0</v>
  </rv>
  <rv s="0">
    <fb>46317.076388888891</fb>
    <v>0</v>
  </rv>
  <rv s="0">
    <fb>46317.079861111109</fb>
    <v>0</v>
  </rv>
  <rv s="0">
    <fb>46317.083333333328</fb>
    <v>0</v>
  </rv>
  <rv s="0">
    <fb>46317.086805555555</fb>
    <v>0</v>
  </rv>
  <rv s="0">
    <fb>46317.090277777781</fb>
    <v>0</v>
  </rv>
  <rv s="0">
    <fb>46317.09375</fb>
    <v>0</v>
  </rv>
  <rv s="0">
    <fb>46317.097222222219</fb>
    <v>0</v>
  </rv>
  <rv s="0">
    <fb>46317.100694444445</fb>
    <v>0</v>
  </rv>
  <rv s="0">
    <fb>46317.104166666672</fb>
    <v>0</v>
  </rv>
  <rv s="0">
    <fb>46317.107638888891</fb>
    <v>0</v>
  </rv>
  <rv s="0">
    <fb>46317.111111111109</fb>
    <v>0</v>
  </rv>
  <rv s="0">
    <fb>46317.114583333328</fb>
    <v>0</v>
  </rv>
  <rv s="0">
    <fb>46317.118055555555</fb>
    <v>0</v>
  </rv>
  <rv s="0">
    <fb>46317.121527777781</fb>
    <v>0</v>
  </rv>
  <rv s="0">
    <fb>46317.125</fb>
    <v>0</v>
  </rv>
  <rv s="0">
    <fb>46317.128472222219</fb>
    <v>0</v>
  </rv>
  <rv s="0">
    <fb>46317.131944444445</fb>
    <v>0</v>
  </rv>
  <rv s="0">
    <fb>46317.135416666672</fb>
    <v>0</v>
  </rv>
  <rv s="0">
    <fb>46317.138888888891</fb>
    <v>0</v>
  </rv>
  <rv s="0">
    <fb>46317.142361111109</fb>
    <v>0</v>
  </rv>
  <rv s="0">
    <fb>46317.145833333328</fb>
    <v>0</v>
  </rv>
  <rv s="0">
    <fb>46317.149305555555</fb>
    <v>0</v>
  </rv>
  <rv s="0">
    <fb>46317.152777777781</fb>
    <v>0</v>
  </rv>
  <rv s="0">
    <fb>46317.15625</fb>
    <v>0</v>
  </rv>
  <rv s="0">
    <fb>46317.159722222219</fb>
    <v>0</v>
  </rv>
  <rv s="0">
    <fb>46317.163194444445</fb>
    <v>0</v>
  </rv>
  <rv s="0">
    <fb>46317.166666666672</fb>
    <v>0</v>
  </rv>
  <rv s="0">
    <fb>46317.170138888891</fb>
    <v>0</v>
  </rv>
  <rv s="0">
    <fb>46317.173611111109</fb>
    <v>0</v>
  </rv>
  <rv s="0">
    <fb>46317.177083333328</fb>
    <v>0</v>
  </rv>
  <rv s="0">
    <fb>46317.180555555555</fb>
    <v>0</v>
  </rv>
  <rv s="0">
    <fb>46317.184027777781</fb>
    <v>0</v>
  </rv>
  <rv s="0">
    <fb>46317.1875</fb>
    <v>0</v>
  </rv>
  <rv s="0">
    <fb>46317.190972222219</fb>
    <v>0</v>
  </rv>
  <rv s="0">
    <fb>46317.194444444445</fb>
    <v>0</v>
  </rv>
  <rv s="0">
    <fb>46317.197916666672</fb>
    <v>0</v>
  </rv>
  <rv s="0">
    <fb>46317.201388888891</fb>
    <v>0</v>
  </rv>
  <rv s="0">
    <fb>46317.204861111109</fb>
    <v>0</v>
  </rv>
  <rv s="0">
    <fb>46317.208333333328</fb>
    <v>0</v>
  </rv>
  <rv s="0">
    <fb>46317.211805555555</fb>
    <v>0</v>
  </rv>
  <rv s="0">
    <fb>46317.215277777781</fb>
    <v>0</v>
  </rv>
  <rv s="0">
    <fb>46317.21875</fb>
    <v>0</v>
  </rv>
  <rv s="0">
    <fb>46317.222222222219</fb>
    <v>0</v>
  </rv>
  <rv s="0">
    <fb>46317.225694444445</fb>
    <v>0</v>
  </rv>
  <rv s="0">
    <fb>46317.229166666672</fb>
    <v>0</v>
  </rv>
  <rv s="0">
    <fb>46317.232638888891</fb>
    <v>0</v>
  </rv>
  <rv s="0">
    <fb>46317.236111111109</fb>
    <v>0</v>
  </rv>
  <rv s="0">
    <fb>46317.239583333328</fb>
    <v>0</v>
  </rv>
  <rv s="0">
    <fb>46317.243055555555</fb>
    <v>0</v>
  </rv>
  <rv s="0">
    <fb>46317.246527777781</fb>
    <v>0</v>
  </rv>
  <rv s="0">
    <fb>46317.25</fb>
    <v>0</v>
  </rv>
  <rv s="0">
    <fb>46317.253472222219</fb>
    <v>0</v>
  </rv>
  <rv s="0">
    <fb>46317.256944444445</fb>
    <v>0</v>
  </rv>
  <rv s="0">
    <fb>46317.260416666672</fb>
    <v>0</v>
  </rv>
  <rv s="0">
    <fb>46317.263888888891</fb>
    <v>0</v>
  </rv>
  <rv s="0">
    <fb>46317.267361111109</fb>
    <v>0</v>
  </rv>
  <rv s="0">
    <fb>46317.270833333328</fb>
    <v>0</v>
  </rv>
  <rv s="0">
    <fb>46317.274305555555</fb>
    <v>0</v>
  </rv>
  <rv s="0">
    <fb>46317.277777777781</fb>
    <v>0</v>
  </rv>
  <rv s="0">
    <fb>46317.28125</fb>
    <v>0</v>
  </rv>
  <rv s="0">
    <fb>46317.284722222219</fb>
    <v>0</v>
  </rv>
  <rv s="0">
    <fb>46317.288194444445</fb>
    <v>0</v>
  </rv>
  <rv s="0">
    <fb>46317.291666666672</fb>
    <v>0</v>
  </rv>
  <rv s="0">
    <fb>46317.295138888891</fb>
    <v>0</v>
  </rv>
  <rv s="0">
    <fb>46317.298611111109</fb>
    <v>0</v>
  </rv>
  <rv s="0">
    <fb>46317.302083333328</fb>
    <v>0</v>
  </rv>
  <rv s="0">
    <fb>46317.305555555555</fb>
    <v>0</v>
  </rv>
  <rv s="0">
    <fb>46317.309027777781</fb>
    <v>0</v>
  </rv>
  <rv s="0">
    <fb>46317.3125</fb>
    <v>0</v>
  </rv>
  <rv s="0">
    <fb>46317.315972222219</fb>
    <v>0</v>
  </rv>
  <rv s="0">
    <fb>46317.319444444445</fb>
    <v>0</v>
  </rv>
  <rv s="0">
    <fb>46317.322916666672</fb>
    <v>0</v>
  </rv>
  <rv s="0">
    <fb>46317.326388888891</fb>
    <v>0</v>
  </rv>
  <rv s="0">
    <fb>46317.329861111109</fb>
    <v>0</v>
  </rv>
  <rv s="0">
    <fb>46317.333333333328</fb>
    <v>0</v>
  </rv>
  <rv s="0">
    <fb>46317.336805555555</fb>
    <v>0</v>
  </rv>
  <rv s="0">
    <fb>46317.340277777781</fb>
    <v>0</v>
  </rv>
  <rv s="0">
    <fb>46317.34375</fb>
    <v>0</v>
  </rv>
  <rv s="0">
    <fb>46317.347222222219</fb>
    <v>0</v>
  </rv>
  <rv s="0">
    <fb>46317.350694444445</fb>
    <v>0</v>
  </rv>
  <rv s="0">
    <fb>46317.354166666672</fb>
    <v>0</v>
  </rv>
  <rv s="0">
    <fb>46317.357638888891</fb>
    <v>0</v>
  </rv>
  <rv s="0">
    <fb>46317.361111111109</fb>
    <v>0</v>
  </rv>
  <rv s="0">
    <fb>46317.364583333328</fb>
    <v>0</v>
  </rv>
  <rv s="0">
    <fb>46317.368055555555</fb>
    <v>0</v>
  </rv>
  <rv s="0">
    <fb>46317.371527777781</fb>
    <v>0</v>
  </rv>
  <rv s="0">
    <fb>46317.375</fb>
    <v>0</v>
  </rv>
  <rv s="0">
    <fb>46317.378472222219</fb>
    <v>0</v>
  </rv>
  <rv s="0">
    <fb>46317.381944444445</fb>
    <v>0</v>
  </rv>
  <rv s="0">
    <fb>46317.385416666672</fb>
    <v>0</v>
  </rv>
  <rv s="0">
    <fb>46317.388888888891</fb>
    <v>0</v>
  </rv>
  <rv s="0">
    <fb>46317.392361111109</fb>
    <v>0</v>
  </rv>
  <rv s="0">
    <fb>46317.395833333328</fb>
    <v>0</v>
  </rv>
  <rv s="0">
    <fb>46317.399305555555</fb>
    <v>0</v>
  </rv>
  <rv s="0">
    <fb>46317.402777777781</fb>
    <v>0</v>
  </rv>
  <rv s="0">
    <fb>46317.40625</fb>
    <v>0</v>
  </rv>
  <rv s="0">
    <fb>46317.409722222219</fb>
    <v>0</v>
  </rv>
  <rv s="0">
    <fb>46317.413194444445</fb>
    <v>0</v>
  </rv>
  <rv s="0">
    <fb>46317.416666666672</fb>
    <v>0</v>
  </rv>
  <rv s="0">
    <fb>46317.420138888891</fb>
    <v>0</v>
  </rv>
  <rv s="0">
    <fb>46317.423611111109</fb>
    <v>0</v>
  </rv>
  <rv s="0">
    <fb>46317.427083333328</fb>
    <v>0</v>
  </rv>
  <rv s="0">
    <fb>46317.430555555555</fb>
    <v>0</v>
  </rv>
  <rv s="0">
    <fb>46317.434027777781</fb>
    <v>0</v>
  </rv>
  <rv s="0">
    <fb>46317.4375</fb>
    <v>0</v>
  </rv>
  <rv s="0">
    <fb>46317.440972222219</fb>
    <v>0</v>
  </rv>
  <rv s="0">
    <fb>46317.444444444445</fb>
    <v>0</v>
  </rv>
  <rv s="0">
    <fb>46317.447916666672</fb>
    <v>0</v>
  </rv>
  <rv s="0">
    <fb>46317.451388888891</fb>
    <v>0</v>
  </rv>
  <rv s="0">
    <fb>46317.454861111109</fb>
    <v>0</v>
  </rv>
  <rv s="0">
    <fb>46317.458333333328</fb>
    <v>0</v>
  </rv>
  <rv s="0">
    <fb>46317.461805555555</fb>
    <v>0</v>
  </rv>
  <rv s="0">
    <fb>46317.465277777781</fb>
    <v>0</v>
  </rv>
  <rv s="0">
    <fb>46317.46875</fb>
    <v>0</v>
  </rv>
  <rv s="0">
    <fb>46317.472222222219</fb>
    <v>0</v>
  </rv>
  <rv s="0">
    <fb>46317.475694444445</fb>
    <v>0</v>
  </rv>
  <rv s="0">
    <fb>46317.479166666672</fb>
    <v>0</v>
  </rv>
  <rv s="0">
    <fb>46317.482638888891</fb>
    <v>0</v>
  </rv>
  <rv s="0">
    <fb>46317.486111111109</fb>
    <v>0</v>
  </rv>
  <rv s="0">
    <fb>46317.489583333328</fb>
    <v>0</v>
  </rv>
  <rv s="0">
    <fb>46317.493055555555</fb>
    <v>0</v>
  </rv>
  <rv s="0">
    <fb>46317.496527777781</fb>
    <v>0</v>
  </rv>
  <rv s="0">
    <fb>46317.5</fb>
    <v>0</v>
  </rv>
  <rv s="0">
    <fb>46317.503472222219</fb>
    <v>0</v>
  </rv>
  <rv s="0">
    <fb>46317.506944444445</fb>
    <v>0</v>
  </rv>
  <rv s="0">
    <fb>46317.510416666672</fb>
    <v>0</v>
  </rv>
  <rv s="0">
    <fb>46317.513888888891</fb>
    <v>0</v>
  </rv>
  <rv s="0">
    <fb>46317.517361111109</fb>
    <v>0</v>
  </rv>
  <rv s="0">
    <fb>46317.520833333328</fb>
    <v>0</v>
  </rv>
  <rv s="0">
    <fb>46317.524305555555</fb>
    <v>0</v>
  </rv>
  <rv s="0">
    <fb>46317.527777777781</fb>
    <v>0</v>
  </rv>
  <rv s="0">
    <fb>46317.53125</fb>
    <v>0</v>
  </rv>
  <rv s="0">
    <fb>46317.534722222219</fb>
    <v>0</v>
  </rv>
  <rv s="0">
    <fb>46317.538194444445</fb>
    <v>0</v>
  </rv>
  <rv s="0">
    <fb>46317.541666666672</fb>
    <v>0</v>
  </rv>
  <rv s="0">
    <fb>46317.545138888891</fb>
    <v>0</v>
  </rv>
  <rv s="0">
    <fb>46317.548611111109</fb>
    <v>0</v>
  </rv>
  <rv s="0">
    <fb>46317.552083333328</fb>
    <v>0</v>
  </rv>
  <rv s="0">
    <fb>46317.555555555555</fb>
    <v>0</v>
  </rv>
  <rv s="0">
    <fb>46317.559027777781</fb>
    <v>0</v>
  </rv>
  <rv s="0">
    <fb>46317.5625</fb>
    <v>0</v>
  </rv>
  <rv s="0">
    <fb>46317.565972222219</fb>
    <v>0</v>
  </rv>
  <rv s="0">
    <fb>46317.569444444445</fb>
    <v>0</v>
  </rv>
  <rv s="0">
    <fb>46317.572916666672</fb>
    <v>0</v>
  </rv>
  <rv s="0">
    <fb>46317.576388888891</fb>
    <v>0</v>
  </rv>
  <rv s="0">
    <fb>46317.579861111109</fb>
    <v>0</v>
  </rv>
  <rv s="0">
    <fb>46317.583333333328</fb>
    <v>0</v>
  </rv>
  <rv s="0">
    <fb>46317.586805555555</fb>
    <v>0</v>
  </rv>
  <rv s="0">
    <fb>46317.590277777781</fb>
    <v>0</v>
  </rv>
  <rv s="0">
    <fb>46317.59375</fb>
    <v>0</v>
  </rv>
  <rv s="0">
    <fb>46317.597222222219</fb>
    <v>0</v>
  </rv>
  <rv s="0">
    <fb>46317.600694444445</fb>
    <v>0</v>
  </rv>
  <rv s="0">
    <fb>46317.604166666672</fb>
    <v>0</v>
  </rv>
  <rv s="0">
    <fb>46317.607638888891</fb>
    <v>0</v>
  </rv>
  <rv s="0">
    <fb>46317.611111111109</fb>
    <v>0</v>
  </rv>
  <rv s="0">
    <fb>46317.614583333328</fb>
    <v>0</v>
  </rv>
  <rv s="0">
    <fb>46317.618055555555</fb>
    <v>0</v>
  </rv>
  <rv s="0">
    <fb>46317.621527777781</fb>
    <v>0</v>
  </rv>
  <rv s="0">
    <fb>46317.625</fb>
    <v>0</v>
  </rv>
  <rv s="0">
    <fb>46317.628472222219</fb>
    <v>0</v>
  </rv>
  <rv s="0">
    <fb>46317.631944444445</fb>
    <v>0</v>
  </rv>
  <rv s="0">
    <fb>46317.635416666672</fb>
    <v>0</v>
  </rv>
  <rv s="0">
    <fb>46317.638888888891</fb>
    <v>0</v>
  </rv>
  <rv s="0">
    <fb>46317.642361111109</fb>
    <v>0</v>
  </rv>
  <rv s="0">
    <fb>46317.645833333328</fb>
    <v>0</v>
  </rv>
  <rv s="0">
    <fb>46317.649305555555</fb>
    <v>0</v>
  </rv>
  <rv s="0">
    <fb>46317.652777777781</fb>
    <v>0</v>
  </rv>
  <rv s="0">
    <fb>46317.65625</fb>
    <v>0</v>
  </rv>
  <rv s="0">
    <fb>46317.659722222219</fb>
    <v>0</v>
  </rv>
  <rv s="0">
    <fb>46317.663194444445</fb>
    <v>0</v>
  </rv>
  <rv s="0">
    <fb>46317.670138888891</fb>
    <v>0</v>
  </rv>
  <rv s="0">
    <fb>46317.673611111109</fb>
    <v>0</v>
  </rv>
  <rv s="0">
    <fb>46317.677083333328</fb>
    <v>0</v>
  </rv>
  <rv s="0">
    <fb>46316.679009340281</fb>
    <v>0</v>
  </rv>
  <rv s="0">
    <fb>1</fb>
    <v>2</v>
  </rv>
  <rv s="0">
    <fb>46316.720676006946</fb>
    <v>0</v>
  </rv>
  <rv s="0">
    <fb>0.5</fb>
    <v>2</v>
  </rv>
  <rv s="0">
    <fb>46316.76234267361</fb>
    <v>0</v>
  </rv>
  <rv s="0">
    <fb>46316.804009340281</fb>
    <v>0</v>
  </rv>
  <rv s="0">
    <fb>46316.845676006946</fb>
    <v>0</v>
  </rv>
  <rv s="0">
    <fb>46316.88734267361</fb>
    <v>0</v>
  </rv>
  <rv s="0">
    <fb>0.66666666666666663</fb>
    <v>2</v>
  </rv>
  <rv s="0">
    <fb>46316.929009340281</fb>
    <v>0</v>
  </rv>
  <rv s="0">
    <fb>46316.970676006946</fb>
    <v>0</v>
  </rv>
  <rv s="0">
    <fb>46317.01234267361</fb>
    <v>0</v>
  </rv>
  <rv s="0">
    <fb>46317.054009340281</fb>
    <v>0</v>
  </rv>
  <rv s="0">
    <fb>46317.095676006946</fb>
    <v>0</v>
  </rv>
  <rv s="0">
    <fb>46317.13734267361</fb>
    <v>0</v>
  </rv>
  <rv s="0">
    <fb>46317.179009340281</fb>
    <v>0</v>
  </rv>
  <rv s="0">
    <fb>46317.220676006946</fb>
    <v>0</v>
  </rv>
  <rv s="0">
    <fb>0</fb>
    <v>2</v>
  </rv>
  <rv s="0">
    <fb>46317.26234267361</fb>
    <v>0</v>
  </rv>
  <rv s="0">
    <fb>46317.304009340281</fb>
    <v>0</v>
  </rv>
  <rv s="0">
    <fb>46317.345676006946</fb>
    <v>0</v>
  </rv>
  <rv s="0">
    <fb>46317.38734267361</fb>
    <v>0</v>
  </rv>
  <rv s="0">
    <fb>0.33333333333333331</fb>
    <v>2</v>
  </rv>
  <rv s="0">
    <fb>46317.429009340281</fb>
    <v>0</v>
  </rv>
  <rv s="0">
    <fb>46317.470676006946</fb>
    <v>0</v>
  </rv>
  <rv s="0">
    <fb>46317.51234267361</fb>
    <v>0</v>
  </rv>
  <rv s="0">
    <fb>46317.554009340281</fb>
    <v>0</v>
  </rv>
  <rv s="0">
    <fb>46317.595676006946</fb>
    <v>0</v>
  </rv>
  <rv s="0">
    <fb>46317.63734267361</fb>
    <v>0</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3">
    <spb s="0">
      <v>1</v>
    </spb>
    <spb s="0">
      <v>2</v>
    </spb>
    <spb s="0">
      <v>3</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27" formatCode="m/d/yy\ h:mm"/>
    </x:dxf>
    <x:dxf>
      <x:numFmt numFmtId="0" formatCode="General"/>
    </x:dxf>
    <x:dxf>
      <x:numFmt numFmtId="13" formatCode="0%"/>
    </x:dxf>
  </dxfs>
  <richProperties>
    <rPr n="NumberFormat" t="s"/>
  </richProperties>
  <richStyles>
    <rSty dxfid="0">
      <rpv i="0">mm/dd/yy hh:mm:ss.000</rpv>
    </rSty>
    <rSty dxfid="1">
      <rpv i="0">[Red]General</rpv>
    </rSty>
    <rSty dxfid="2">
      <rpv i="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a459f4-8b18-4a0f-b62c-5bf3f2b37a3c}">
  <we:reference id="a0a459f4-8b18-4a0f-b62c-5bf3f2b37a3c" version="1.0.3.0" store="developer" storeType="Registry"/>
  <we:alternateReferences/>
  <we:properties/>
  <we:bindings/>
  <we:snapshot xmlns:r="http://schemas.openxmlformats.org/officeDocument/2006/relationships"/>
  <we:extLst>
    <a:ext xmlns:a="http://schemas.openxmlformats.org/drawingml/2006/main" uri="{7C84B067-C214-45C3-A712-C9D94CD141B2}">
      <we:customFunctionIdList>
        <we:customFunctionIds>_xldudf_TB_HISTORY</we:customFunctionIds>
        <we:customFunctionIds>_xldudf_TB_SAMPLE</we:customFunctionIds>
        <we:customFunctionIds>_xldudf_TB_VALUE</we:customFunctionIds>
        <we:customFunctionIds>_xldudf_TB_DATASETS</we:customFunctionIds>
        <we:customFunctionIds>_xldudf_TB_TAGS</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B911-063B-0C47-9297-33254AF38CF3}">
  <dimension ref="A2:Z36"/>
  <sheetViews>
    <sheetView showGridLines="0" tabSelected="1" workbookViewId="0"/>
  </sheetViews>
  <sheetFormatPr baseColWidth="10" defaultRowHeight="16" x14ac:dyDescent="0.2"/>
  <cols>
    <col min="1" max="1" width="2" style="1" customWidth="1"/>
    <col min="2" max="2" width="43.33203125" style="1" customWidth="1"/>
    <col min="3" max="3" width="50" style="1" customWidth="1"/>
    <col min="4" max="4" width="2" style="1" customWidth="1"/>
    <col min="5" max="5" width="2.6640625" style="1" customWidth="1"/>
    <col min="6" max="26" width="10.83203125" style="1"/>
  </cols>
  <sheetData>
    <row r="2" spans="2:2" ht="27" x14ac:dyDescent="0.2">
      <c r="B2" s="2" t="s">
        <v>0</v>
      </c>
    </row>
    <row r="3" spans="2:2" ht="34" x14ac:dyDescent="0.2">
      <c r="B3" s="3" t="s">
        <v>1</v>
      </c>
    </row>
    <row r="5" spans="2:2" ht="102" x14ac:dyDescent="0.2">
      <c r="B5" s="4" t="s">
        <v>2</v>
      </c>
    </row>
    <row r="8" spans="2:2" ht="19" x14ac:dyDescent="0.2">
      <c r="B8" s="5" t="s">
        <v>3</v>
      </c>
    </row>
    <row r="9" spans="2:2" ht="34" x14ac:dyDescent="0.2">
      <c r="B9" s="4" t="s">
        <v>4</v>
      </c>
    </row>
    <row r="10" spans="2:2" ht="34" x14ac:dyDescent="0.2">
      <c r="B10" s="4" t="s">
        <v>5</v>
      </c>
    </row>
    <row r="11" spans="2:2" ht="34" x14ac:dyDescent="0.2">
      <c r="B11" s="4" t="s">
        <v>6</v>
      </c>
    </row>
    <row r="12" spans="2:2" ht="34" x14ac:dyDescent="0.2">
      <c r="B12" s="4" t="s">
        <v>7</v>
      </c>
    </row>
    <row r="13" spans="2:2" ht="34" x14ac:dyDescent="0.2">
      <c r="B13" s="4" t="s">
        <v>8</v>
      </c>
    </row>
    <row r="16" spans="2:2" ht="19" x14ac:dyDescent="0.2">
      <c r="B16" s="5" t="s">
        <v>9</v>
      </c>
    </row>
    <row r="17" spans="2:3" ht="17" x14ac:dyDescent="0.2">
      <c r="B17" s="7" t="s">
        <v>10</v>
      </c>
      <c r="C17" s="7" t="s">
        <v>11</v>
      </c>
    </row>
    <row r="18" spans="2:3" ht="34" x14ac:dyDescent="0.2">
      <c r="B18" s="8" t="s">
        <v>12</v>
      </c>
      <c r="C18" s="6" t="s">
        <v>13</v>
      </c>
    </row>
    <row r="19" spans="2:3" ht="17" x14ac:dyDescent="0.2">
      <c r="B19" s="8" t="s">
        <v>14</v>
      </c>
      <c r="C19" s="6" t="s">
        <v>15</v>
      </c>
    </row>
    <row r="20" spans="2:3" ht="34" x14ac:dyDescent="0.2">
      <c r="B20" s="8" t="s">
        <v>16</v>
      </c>
      <c r="C20" s="6" t="s">
        <v>17</v>
      </c>
    </row>
    <row r="21" spans="2:3" ht="17" x14ac:dyDescent="0.2">
      <c r="B21" s="8" t="s">
        <v>18</v>
      </c>
      <c r="C21" s="6" t="s">
        <v>19</v>
      </c>
    </row>
    <row r="22" spans="2:3" ht="34" x14ac:dyDescent="0.2">
      <c r="B22" s="8" t="s">
        <v>20</v>
      </c>
      <c r="C22" s="6" t="s">
        <v>21</v>
      </c>
    </row>
    <row r="23" spans="2:3" ht="34" x14ac:dyDescent="0.2">
      <c r="B23" s="8" t="s">
        <v>22</v>
      </c>
      <c r="C23" s="6" t="s">
        <v>23</v>
      </c>
    </row>
    <row r="24" spans="2:3" ht="34" x14ac:dyDescent="0.2">
      <c r="B24" s="8" t="s">
        <v>24</v>
      </c>
      <c r="C24" s="6" t="s">
        <v>25</v>
      </c>
    </row>
    <row r="25" spans="2:3" ht="34" x14ac:dyDescent="0.2">
      <c r="B25" s="8" t="s">
        <v>26</v>
      </c>
      <c r="C25" s="6" t="s">
        <v>27</v>
      </c>
    </row>
    <row r="26" spans="2:3" ht="17" x14ac:dyDescent="0.2">
      <c r="B26" s="8" t="s">
        <v>28</v>
      </c>
      <c r="C26" s="6" t="s">
        <v>29</v>
      </c>
    </row>
    <row r="27" spans="2:3" ht="17" x14ac:dyDescent="0.2">
      <c r="B27" s="8" t="s">
        <v>30</v>
      </c>
      <c r="C27" s="6" t="s">
        <v>31</v>
      </c>
    </row>
    <row r="28" spans="2:3" ht="17" x14ac:dyDescent="0.2">
      <c r="B28" s="8" t="s">
        <v>32</v>
      </c>
      <c r="C28" s="6" t="s">
        <v>33</v>
      </c>
    </row>
    <row r="29" spans="2:3" ht="17" x14ac:dyDescent="0.2">
      <c r="B29" s="8" t="s">
        <v>34</v>
      </c>
      <c r="C29" s="6" t="s">
        <v>35</v>
      </c>
    </row>
    <row r="32" spans="2:3" ht="19" x14ac:dyDescent="0.2">
      <c r="B32" s="5" t="s">
        <v>36</v>
      </c>
    </row>
    <row r="33" spans="2:2" ht="51" x14ac:dyDescent="0.2">
      <c r="B33" s="4" t="s">
        <v>37</v>
      </c>
    </row>
    <row r="34" spans="2:2" ht="34" x14ac:dyDescent="0.2">
      <c r="B34" s="4" t="s">
        <v>38</v>
      </c>
    </row>
    <row r="35" spans="2:2" ht="68" x14ac:dyDescent="0.2">
      <c r="B35" s="4" t="s">
        <v>39</v>
      </c>
    </row>
    <row r="36" spans="2:2" ht="51" x14ac:dyDescent="0.2">
      <c r="B36" s="4" t="s">
        <v>40</v>
      </c>
    </row>
  </sheetData>
  <hyperlinks>
    <hyperlink ref="B18" location="'Setup'!A1" tooltip="Go to Setup" display="Setup" xr:uid="{B1DAC237-2979-4C41-B049-4E9A5AC19B4E}"/>
    <hyperlink ref="B19" location="'Functions'!A1" tooltip="Go to Functions" display="Functions" xr:uid="{7D8D7E0C-938D-9342-9E47-ADACE349E17B}"/>
    <hyperlink ref="B20" location="'1 Current value'!A1" tooltip="Go to 1 Current value" display="1 Current value" xr:uid="{E6AB1443-2D3A-A844-9CC8-F584429CF837}"/>
    <hyperlink ref="B21" location="'2 Find tags'!A1" tooltip="Go to 2 Find tags" display="2 Find tags" xr:uid="{A26DE708-A71E-D74E-A8A4-142513637108}"/>
    <hyperlink ref="B22" location="'3 Raw history'!A1" tooltip="Go to 3 Raw history" display="3 Raw history" xr:uid="{BF38776C-0A3D-BA4F-8BE6-FCD846E5EB31}"/>
    <hyperlink ref="B23" location="'4 Aggregates'!A1" tooltip="Go to 4 Aggregates" display="4 Aggregates" xr:uid="{AA659F17-A112-6B45-B213-DCE94FE12DCC}"/>
    <hyperlink ref="B24" location="'5 State sampling'!A1" tooltip="Go to 5 State sampling" display="5 State sampling" xr:uid="{DAA59796-C593-9B47-83CC-545A0C6FA395}"/>
    <hyperlink ref="B25" location="'6 Quality'!A1" tooltip="Go to 6 Quality" display="6 Quality" xr:uid="{56878C4E-6EA0-1B43-BDCE-F21F0DE16220}"/>
    <hyperlink ref="B26" location="'7 Tags from cells'!A1" tooltip="Go to 7 Tags from cells" display="7 Tags from cells" xr:uid="{3C60D3F0-DFB1-864A-B08C-9C4485922ED9}"/>
    <hyperlink ref="B27" location="'Time expressions'!A1" tooltip="Go to Time expressions" display="Time expressions" xr:uid="{BB081D23-9F1A-3B4D-9632-0A6BB5747231}"/>
    <hyperlink ref="B28" location="'Troubleshooting'!A1" tooltip="Go to Troubleshooting" display="Troubleshooting" xr:uid="{D3C738FD-89CB-DD4E-8BD1-C1CF8B2BD415}"/>
    <hyperlink ref="B29" location="'Learn more'!A1" tooltip="Go to Learn more" display="Learn more" xr:uid="{BF90A1A3-768F-EB46-A878-9DF1E0A057A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6F5D1-949E-BB4C-B206-4903B6648CA3}">
  <dimension ref="A2:Z34"/>
  <sheetViews>
    <sheetView showGridLines="0" topLeftCell="A4" workbookViewId="0"/>
  </sheetViews>
  <sheetFormatPr baseColWidth="10" defaultRowHeight="16" x14ac:dyDescent="0.2"/>
  <cols>
    <col min="1" max="1" width="2" style="1" customWidth="1"/>
    <col min="2" max="2" width="50" style="1" customWidth="1"/>
    <col min="3" max="3" width="21.6640625" style="1" customWidth="1"/>
    <col min="4" max="4" width="33.33203125" style="1" customWidth="1"/>
    <col min="5" max="5" width="2.6640625" style="1" customWidth="1"/>
    <col min="6" max="6" width="23.33203125" style="1" customWidth="1"/>
    <col min="7" max="11" width="10.83203125" style="1"/>
    <col min="12" max="12" width="23.33203125" style="1" customWidth="1"/>
    <col min="13" max="26" width="10.83203125" style="1"/>
  </cols>
  <sheetData>
    <row r="2" spans="2:17" ht="27" x14ac:dyDescent="0.2">
      <c r="B2" s="2" t="s">
        <v>12</v>
      </c>
    </row>
    <row r="3" spans="2:17" ht="17" x14ac:dyDescent="0.2">
      <c r="B3" s="3" t="s">
        <v>41</v>
      </c>
    </row>
    <row r="4" spans="2:17" x14ac:dyDescent="0.2">
      <c r="F4" s="10" t="s">
        <v>46</v>
      </c>
      <c r="L4" s="10" t="s">
        <v>65</v>
      </c>
    </row>
    <row r="5" spans="2:17" x14ac:dyDescent="0.2">
      <c r="F5" s="11" t="str">
        <f ca="1">_xlfn.FORMULATEXT(F6)</f>
        <v>=TB.DATASETS()</v>
      </c>
      <c r="L5" s="11" t="str">
        <f ca="1">_xlfn.FORMULATEXT(L6)</f>
        <v>=TB.TAGS(Guide_Dataset)</v>
      </c>
    </row>
    <row r="6" spans="2:17" ht="19" x14ac:dyDescent="0.2">
      <c r="B6" s="5" t="s">
        <v>42</v>
      </c>
      <c r="F6" s="1" t="str" cm="1">
        <f t="array" ref="F6:I7">_xldudf_TB_DATASETS()</f>
        <v>Dataset</v>
      </c>
      <c r="G6" s="1" t="str">
        <v>Tags</v>
      </c>
      <c r="H6" s="1" t="str">
        <v>Size (GB)</v>
      </c>
      <c r="I6" s="1" t="str">
        <v>Age (days)</v>
      </c>
      <c r="L6" s="1" t="str" cm="1">
        <f t="array" ref="L6:Q34">_xldudf_TB_TAGS(Guide_Dataset)</f>
        <v>Name</v>
      </c>
      <c r="M6" s="1" t="str">
        <v>Description</v>
      </c>
      <c r="N6" s="1" t="str">
        <v>Data Type</v>
      </c>
      <c r="O6" s="1" t="str">
        <v>Unit</v>
      </c>
      <c r="P6" s="1" t="str">
        <v>Current Value</v>
      </c>
      <c r="Q6" s="1" t="str">
        <v>Current Time</v>
      </c>
    </row>
    <row r="7" spans="2:17" ht="68" x14ac:dyDescent="0.2">
      <c r="B7" s="4" t="s">
        <v>43</v>
      </c>
      <c r="F7" s="1" t="str">
        <v>state-example</v>
      </c>
      <c r="G7" s="1">
        <v>6</v>
      </c>
      <c r="H7" s="1">
        <v>1.8729610368609428E-2</v>
      </c>
      <c r="I7" s="1">
        <v>7.9706760164398149</v>
      </c>
      <c r="L7" s="1" t="str">
        <v>FL001.State</v>
      </c>
      <c r="M7" s="1" t="str">
        <v>Filler 1 State</v>
      </c>
      <c r="N7" s="1" t="str">
        <v>System.Int32</v>
      </c>
      <c r="O7" s="1" t="str">
        <v>(enumerated)</v>
      </c>
      <c r="P7" s="1">
        <v>20</v>
      </c>
      <c r="Q7" s="1" vm="1">
        <v>46317.64828947917</v>
      </c>
    </row>
    <row r="8" spans="2:17" ht="51" x14ac:dyDescent="0.2">
      <c r="B8" s="4" t="s">
        <v>44</v>
      </c>
      <c r="L8" s="1" t="str">
        <v>131-TT-001.PV</v>
      </c>
      <c r="M8" s="1" t="str">
        <v>Filler 1 Temperature</v>
      </c>
      <c r="N8" s="1" t="str">
        <v>System.Double</v>
      </c>
      <c r="O8" s="1" t="str">
        <v>°F</v>
      </c>
      <c r="P8" s="1">
        <v>65.065284073262802</v>
      </c>
      <c r="Q8" s="1" vm="2">
        <v>46317.678983240738</v>
      </c>
    </row>
    <row r="9" spans="2:17" ht="34" x14ac:dyDescent="0.2">
      <c r="B9" s="4" t="s">
        <v>45</v>
      </c>
      <c r="L9" s="1" t="str">
        <v>FL002.State</v>
      </c>
      <c r="M9" s="1" t="str">
        <v>Filler 2 State</v>
      </c>
      <c r="N9" s="1" t="str">
        <v>System.Int32</v>
      </c>
      <c r="O9" s="1" t="str">
        <v>(enumerated)</v>
      </c>
      <c r="P9" s="1">
        <v>30</v>
      </c>
      <c r="Q9" s="1" vm="3">
        <v>46317.667217418981</v>
      </c>
    </row>
    <row r="10" spans="2:17" x14ac:dyDescent="0.2">
      <c r="L10" s="1" t="str">
        <v>131-TT-002.PV</v>
      </c>
      <c r="M10" s="1" t="str">
        <v>Filler 2 Temperature</v>
      </c>
      <c r="N10" s="1" t="str">
        <v>System.Double</v>
      </c>
      <c r="O10" s="1" t="str">
        <v>°F</v>
      </c>
      <c r="P10" s="1">
        <v>54.450299234575972</v>
      </c>
      <c r="Q10" s="1" vm="4">
        <v>46317.678995601847</v>
      </c>
    </row>
    <row r="11" spans="2:17" x14ac:dyDescent="0.2">
      <c r="L11" s="1" t="str">
        <v>FL003.State</v>
      </c>
      <c r="M11" s="1" t="str">
        <v>Filler 3 State</v>
      </c>
      <c r="N11" s="1" t="str">
        <v>System.Int32</v>
      </c>
      <c r="O11" s="1" t="str">
        <v>(enumerated)</v>
      </c>
      <c r="P11" s="1">
        <v>10</v>
      </c>
      <c r="Q11" s="1" vm="5">
        <v>46317.639552337962</v>
      </c>
    </row>
    <row r="12" spans="2:17" ht="19" x14ac:dyDescent="0.2">
      <c r="B12" s="5" t="s">
        <v>47</v>
      </c>
      <c r="L12" s="1" t="str">
        <v>131-TT-003.PV</v>
      </c>
      <c r="M12" s="1" t="str">
        <v>Filler 3 Temperature</v>
      </c>
      <c r="N12" s="1" t="str">
        <v>System.Double</v>
      </c>
      <c r="O12" s="1" t="str">
        <v>°F</v>
      </c>
      <c r="P12" s="1">
        <v>46.483482893711134</v>
      </c>
      <c r="Q12" s="1" vm="6">
        <v>46317.678989722219</v>
      </c>
    </row>
    <row r="13" spans="2:17" ht="34" x14ac:dyDescent="0.2">
      <c r="B13" s="4" t="s">
        <v>48</v>
      </c>
      <c r="L13" s="1" t="str">
        <v>Process.Memory</v>
      </c>
      <c r="M13" s="1" t="str">
        <v>Process memory usage</v>
      </c>
      <c r="N13" s="1" t="str">
        <v>System.Double</v>
      </c>
      <c r="O13" s="1" t="str">
        <v>MB</v>
      </c>
      <c r="P13" s="1">
        <v>374.015625</v>
      </c>
      <c r="Q13" s="1" vm="7">
        <v>46317.677072499995</v>
      </c>
    </row>
    <row r="14" spans="2:17" x14ac:dyDescent="0.2">
      <c r="L14" s="1" t="str">
        <v>Process.CPU</v>
      </c>
      <c r="M14" s="1" t="str">
        <v>Process CPU usage</v>
      </c>
      <c r="N14" s="1" t="str">
        <v>System.Double</v>
      </c>
      <c r="O14" s="1" t="str">
        <v>%</v>
      </c>
      <c r="P14" s="1">
        <v>1.5945302002556041</v>
      </c>
      <c r="Q14" s="1" vm="8">
        <v>46317.679006736114</v>
      </c>
    </row>
    <row r="15" spans="2:17" ht="34" x14ac:dyDescent="0.2">
      <c r="B15" s="9" t="s">
        <v>49</v>
      </c>
      <c r="C15" s="12" t="s">
        <v>50</v>
      </c>
      <c r="D15" s="13" t="s">
        <v>51</v>
      </c>
      <c r="L15" s="1" t="str">
        <v>Dataset.State</v>
      </c>
      <c r="M15" s="1" t="str">
        <v>System state</v>
      </c>
      <c r="N15" s="1" t="str">
        <v>System.Int16</v>
      </c>
      <c r="O15" s="1" t="str">
        <v>(enumerated)</v>
      </c>
      <c r="P15" s="1">
        <v>2</v>
      </c>
      <c r="Q15" s="1" vm="9">
        <v>46316.730883078708</v>
      </c>
    </row>
    <row r="16" spans="2:17" x14ac:dyDescent="0.2">
      <c r="L16" s="1" t="str">
        <v>Dataset.Size</v>
      </c>
      <c r="M16" s="1" t="str">
        <v>System storage size</v>
      </c>
      <c r="N16" s="1" t="str">
        <v>System.Double</v>
      </c>
      <c r="O16" s="1" t="str">
        <v>GB</v>
      </c>
      <c r="P16" s="1">
        <v>1.8729600124061108E-2</v>
      </c>
      <c r="Q16" s="1" vm="10">
        <v>46317.678922511579</v>
      </c>
    </row>
    <row r="17" spans="2:17" ht="34" x14ac:dyDescent="0.2">
      <c r="B17" s="9" t="s">
        <v>52</v>
      </c>
      <c r="C17" s="12" t="s">
        <v>53</v>
      </c>
      <c r="D17" s="13" t="s">
        <v>56</v>
      </c>
      <c r="L17" s="1" t="str">
        <v>System.Space.Available</v>
      </c>
      <c r="M17" s="1" t="str">
        <v>Available storage space</v>
      </c>
      <c r="N17" s="1" t="str">
        <v>System.Double</v>
      </c>
      <c r="O17" s="1" t="str">
        <v>GB</v>
      </c>
      <c r="P17" s="1">
        <v>838.70223236083984</v>
      </c>
      <c r="Q17" s="1" vm="10">
        <v>46317.678922511579</v>
      </c>
    </row>
    <row r="18" spans="2:17" x14ac:dyDescent="0.2">
      <c r="C18" s="12" t="s">
        <v>54</v>
      </c>
      <c r="L18" s="1" t="str">
        <v>Dataset.Tags</v>
      </c>
      <c r="M18" s="1" t="str">
        <v>System tag count</v>
      </c>
      <c r="N18" s="1" t="str">
        <v>System.Int64</v>
      </c>
      <c r="O18" s="1" t="str">
        <v/>
      </c>
      <c r="P18" s="1">
        <v>6</v>
      </c>
      <c r="Q18" s="1" vm="11">
        <v>46316.731577696759</v>
      </c>
    </row>
    <row r="19" spans="2:17" x14ac:dyDescent="0.2">
      <c r="C19" s="12" t="s">
        <v>55</v>
      </c>
      <c r="L19" s="1" t="str">
        <v>Dataset.Reads</v>
      </c>
      <c r="M19" s="1" t="str">
        <v>System read rate</v>
      </c>
      <c r="N19" s="1" t="str">
        <v>System.Double</v>
      </c>
      <c r="O19" s="1" t="str">
        <v>Points/s</v>
      </c>
      <c r="P19" s="1">
        <v>0</v>
      </c>
      <c r="Q19" s="1" vm="12">
        <v>46317.677930243051</v>
      </c>
    </row>
    <row r="20" spans="2:17" x14ac:dyDescent="0.2">
      <c r="L20" s="1" t="str">
        <v>Dataset.Writes</v>
      </c>
      <c r="M20" s="1" t="str">
        <v>System write rate</v>
      </c>
      <c r="N20" s="1" t="str">
        <v>System.Double</v>
      </c>
      <c r="O20" s="1" t="str">
        <v>Points/s</v>
      </c>
      <c r="P20" s="1">
        <v>4.4360278209920816</v>
      </c>
      <c r="Q20" s="1" vm="8">
        <v>46317.679006736114</v>
      </c>
    </row>
    <row r="21" spans="2:17" ht="34" x14ac:dyDescent="0.2">
      <c r="B21" s="9" t="s">
        <v>57</v>
      </c>
      <c r="C21" s="12" t="s">
        <v>58</v>
      </c>
      <c r="D21" s="13" t="s">
        <v>59</v>
      </c>
      <c r="L21" s="1" t="str">
        <v>Dataset.Writes.Late</v>
      </c>
      <c r="M21" s="1" t="str">
        <v>System late write rate</v>
      </c>
      <c r="N21" s="1" t="str">
        <v>System.Double</v>
      </c>
      <c r="O21" s="1" t="str">
        <v>Points/s</v>
      </c>
      <c r="P21" s="1">
        <v>0</v>
      </c>
      <c r="Q21" s="1" vm="13">
        <v>46317.605403391208</v>
      </c>
    </row>
    <row r="22" spans="2:17" x14ac:dyDescent="0.2">
      <c r="L22" s="1" t="str">
        <v>Dataset.Blocks</v>
      </c>
      <c r="M22" s="1" t="str">
        <v>Total data block count</v>
      </c>
      <c r="N22" s="1" t="str">
        <v>System.Int64</v>
      </c>
      <c r="O22" s="1" t="str">
        <v/>
      </c>
      <c r="P22" s="1">
        <v>192</v>
      </c>
      <c r="Q22" s="1" vm="14">
        <v>46317.667115960649</v>
      </c>
    </row>
    <row r="23" spans="2:17" ht="34" x14ac:dyDescent="0.2">
      <c r="B23" s="9" t="s">
        <v>60</v>
      </c>
      <c r="C23" s="12" t="s">
        <v>61</v>
      </c>
      <c r="D23" s="13" t="s">
        <v>62</v>
      </c>
      <c r="L23" s="1" t="str">
        <v>Dataset.Blocks.Active</v>
      </c>
      <c r="M23" s="1" t="str">
        <v>Active data block count</v>
      </c>
      <c r="N23" s="1" t="str">
        <v>System.Int64</v>
      </c>
      <c r="O23" s="1" t="str">
        <v/>
      </c>
      <c r="P23" s="1">
        <v>192</v>
      </c>
      <c r="Q23" s="1" vm="14">
        <v>46317.667115960649</v>
      </c>
    </row>
    <row r="24" spans="2:17" x14ac:dyDescent="0.2">
      <c r="L24" s="1" t="str">
        <v>Dataset.ObjectBlocks</v>
      </c>
      <c r="M24" s="1" t="str">
        <v>Total object block count</v>
      </c>
      <c r="N24" s="1" t="str">
        <v>System.Int64</v>
      </c>
      <c r="O24" s="1" t="str">
        <v/>
      </c>
      <c r="P24" s="1">
        <v>0</v>
      </c>
      <c r="Q24" s="1" vm="15">
        <v>46316.730883090277</v>
      </c>
    </row>
    <row r="25" spans="2:17" x14ac:dyDescent="0.2">
      <c r="L25" s="1" t="str">
        <v>Dataset.ObjectBlocks.Active</v>
      </c>
      <c r="M25" s="1" t="str">
        <v>Active object block count</v>
      </c>
      <c r="N25" s="1" t="str">
        <v>System.Int64</v>
      </c>
      <c r="O25" s="1" t="str">
        <v/>
      </c>
      <c r="P25" s="1">
        <v>0</v>
      </c>
      <c r="Q25" s="1" vm="15">
        <v>46316.730883090277</v>
      </c>
    </row>
    <row r="26" spans="2:17" ht="19" x14ac:dyDescent="0.2">
      <c r="B26" s="5" t="s">
        <v>63</v>
      </c>
      <c r="L26" s="1" t="str">
        <v>Time.Second</v>
      </c>
      <c r="M26" s="1" t="str">
        <v>Second component of System time</v>
      </c>
      <c r="N26" s="1" t="str">
        <v>System.Int32</v>
      </c>
      <c r="O26" s="1" t="str">
        <v/>
      </c>
      <c r="P26" s="1">
        <v>46</v>
      </c>
      <c r="Q26" s="1" vm="16">
        <v>46317.67900462963</v>
      </c>
    </row>
    <row r="27" spans="2:17" ht="34" x14ac:dyDescent="0.2">
      <c r="B27" s="4" t="s">
        <v>64</v>
      </c>
      <c r="L27" s="1" t="str">
        <v>Time.Minute</v>
      </c>
      <c r="M27" s="1" t="str">
        <v>Minute component of System time</v>
      </c>
      <c r="N27" s="1" t="str">
        <v>System.Int32</v>
      </c>
      <c r="O27" s="1" t="str">
        <v/>
      </c>
      <c r="P27" s="1">
        <v>17</v>
      </c>
      <c r="Q27" s="1" vm="17">
        <v>46317.678472222222</v>
      </c>
    </row>
    <row r="28" spans="2:17" x14ac:dyDescent="0.2">
      <c r="L28" s="1" t="str">
        <v>Time.Hour</v>
      </c>
      <c r="M28" s="1" t="str">
        <v>Hour component of System time</v>
      </c>
      <c r="N28" s="1" t="str">
        <v>System.Int32</v>
      </c>
      <c r="O28" s="1" t="str">
        <v/>
      </c>
      <c r="P28" s="1">
        <v>20</v>
      </c>
      <c r="Q28" s="1" vm="18">
        <v>46317.666666666672</v>
      </c>
    </row>
    <row r="29" spans="2:17" x14ac:dyDescent="0.2">
      <c r="L29" s="1" t="str">
        <v>Dataset.Data.Failure</v>
      </c>
      <c r="M29" s="1" t="str">
        <v>Dataset data write failure counter (0 implies healthy)</v>
      </c>
      <c r="N29" s="1" t="str">
        <v>System.Int64</v>
      </c>
      <c r="O29" s="1" t="str">
        <v/>
      </c>
      <c r="P29" s="1">
        <v>0</v>
      </c>
      <c r="Q29" s="1" vm="19">
        <v>46316.73088314815</v>
      </c>
    </row>
    <row r="30" spans="2:17" x14ac:dyDescent="0.2">
      <c r="L30" s="1" t="str">
        <v>Tag.Info.Failure</v>
      </c>
      <c r="M30" s="1" t="str">
        <v>Tag info write failure counter (0 implies healthy)</v>
      </c>
      <c r="N30" s="1" t="str">
        <v>System.Int64</v>
      </c>
      <c r="O30" s="1" t="str">
        <v/>
      </c>
      <c r="P30" s="1">
        <v>0</v>
      </c>
      <c r="Q30" s="1" vm="15">
        <v>46316.730883090277</v>
      </c>
    </row>
    <row r="31" spans="2:17" x14ac:dyDescent="0.2">
      <c r="L31" s="1" t="str">
        <v>Tag.Data.Failure</v>
      </c>
      <c r="M31" s="1" t="str">
        <v>Tag data write failure counter (0 implies healthy)</v>
      </c>
      <c r="N31" s="1" t="str">
        <v>System.Int64</v>
      </c>
      <c r="O31" s="1" t="str">
        <v/>
      </c>
      <c r="P31" s="1">
        <v>0</v>
      </c>
      <c r="Q31" s="1" vm="19">
        <v>46316.73088314815</v>
      </c>
    </row>
    <row r="32" spans="2:17" x14ac:dyDescent="0.2">
      <c r="L32" s="1" t="str">
        <v>Maintenance.Failure</v>
      </c>
      <c r="M32" s="1" t="str">
        <v>Maintenance loop failure counter (0 implies healthy)</v>
      </c>
      <c r="N32" s="1" t="str">
        <v>System.Int64</v>
      </c>
      <c r="O32" s="1" t="str">
        <v/>
      </c>
      <c r="P32" s="1">
        <v>0</v>
      </c>
      <c r="Q32" s="1" vm="19">
        <v>46316.73088314815</v>
      </c>
    </row>
    <row r="33" spans="12:17" x14ac:dyDescent="0.2">
      <c r="L33" s="1" t="str">
        <v>Diagnostic.Fast.Failure</v>
      </c>
      <c r="M33" s="1" t="str">
        <v>DiagnosticF loop failure counter (0 implies healthy)</v>
      </c>
      <c r="N33" s="1" t="str">
        <v>System.Int64</v>
      </c>
      <c r="O33" s="1" t="str">
        <v/>
      </c>
      <c r="P33" s="1">
        <v>0</v>
      </c>
      <c r="Q33" s="1" vm="15">
        <v>46316.730883090277</v>
      </c>
    </row>
    <row r="34" spans="12:17" x14ac:dyDescent="0.2">
      <c r="L34" s="1" t="str">
        <v>Diagnostic.Medium.Failure</v>
      </c>
      <c r="M34" s="1" t="str">
        <v>DiagnosticM loop failure counter (0 implies healthy)</v>
      </c>
      <c r="N34" s="1" t="str">
        <v>System.Int64</v>
      </c>
      <c r="O34" s="1" t="str">
        <v/>
      </c>
      <c r="P34" s="1">
        <v>0</v>
      </c>
      <c r="Q34" s="1" vm="15">
        <v>46316.730883090277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D85D-50CE-DF4B-90E8-430E1CB6BDF8}">
  <dimension ref="A2:Z33"/>
  <sheetViews>
    <sheetView showGridLines="0" topLeftCell="A7" workbookViewId="0"/>
  </sheetViews>
  <sheetFormatPr baseColWidth="10" defaultRowHeight="16" x14ac:dyDescent="0.2"/>
  <cols>
    <col min="1" max="1" width="2" style="1" customWidth="1"/>
    <col min="2" max="2" width="43.33203125" style="1" customWidth="1"/>
    <col min="3" max="3" width="50" style="1" customWidth="1"/>
    <col min="4" max="4" width="53.33203125" style="1" customWidth="1"/>
    <col min="5" max="5" width="2.6640625" style="1" customWidth="1"/>
    <col min="6" max="26" width="10.83203125" style="1"/>
  </cols>
  <sheetData>
    <row r="2" spans="2:4" ht="27" x14ac:dyDescent="0.2">
      <c r="B2" s="2" t="s">
        <v>66</v>
      </c>
    </row>
    <row r="3" spans="2:4" ht="51" x14ac:dyDescent="0.2">
      <c r="B3" s="3" t="s">
        <v>67</v>
      </c>
    </row>
    <row r="5" spans="2:4" ht="17" x14ac:dyDescent="0.2">
      <c r="B5" s="7" t="s">
        <v>68</v>
      </c>
      <c r="C5" s="7" t="s">
        <v>69</v>
      </c>
      <c r="D5" s="7" t="s">
        <v>70</v>
      </c>
    </row>
    <row r="6" spans="2:4" ht="17" x14ac:dyDescent="0.2">
      <c r="B6" s="6" t="s">
        <v>71</v>
      </c>
      <c r="C6" s="6" t="s">
        <v>72</v>
      </c>
      <c r="D6" s="6" t="s">
        <v>73</v>
      </c>
    </row>
    <row r="7" spans="2:4" ht="34" x14ac:dyDescent="0.2">
      <c r="B7" s="6" t="s">
        <v>74</v>
      </c>
      <c r="C7" s="6" t="s">
        <v>75</v>
      </c>
      <c r="D7" s="6" t="s">
        <v>76</v>
      </c>
    </row>
    <row r="8" spans="2:4" ht="17" x14ac:dyDescent="0.2">
      <c r="B8" s="6" t="s">
        <v>77</v>
      </c>
      <c r="C8" s="6" t="s">
        <v>78</v>
      </c>
      <c r="D8" s="6" t="s">
        <v>79</v>
      </c>
    </row>
    <row r="9" spans="2:4" ht="51" x14ac:dyDescent="0.2">
      <c r="B9" s="6" t="s">
        <v>80</v>
      </c>
      <c r="C9" s="6" t="s">
        <v>81</v>
      </c>
      <c r="D9" s="6" t="s">
        <v>82</v>
      </c>
    </row>
    <row r="10" spans="2:4" ht="34" x14ac:dyDescent="0.2">
      <c r="B10" s="6" t="s">
        <v>83</v>
      </c>
      <c r="C10" s="6" t="s">
        <v>84</v>
      </c>
      <c r="D10" s="6" t="s">
        <v>85</v>
      </c>
    </row>
    <row r="13" spans="2:4" ht="19" x14ac:dyDescent="0.2">
      <c r="B13" s="5" t="s">
        <v>86</v>
      </c>
    </row>
    <row r="14" spans="2:4" ht="17" x14ac:dyDescent="0.2">
      <c r="B14" s="7" t="s">
        <v>87</v>
      </c>
      <c r="C14" s="7" t="s">
        <v>88</v>
      </c>
      <c r="D14" s="7" t="s">
        <v>89</v>
      </c>
    </row>
    <row r="15" spans="2:4" ht="17" x14ac:dyDescent="0.2">
      <c r="B15" s="6" t="s">
        <v>90</v>
      </c>
      <c r="C15" s="6" t="s">
        <v>91</v>
      </c>
      <c r="D15" s="6" t="s">
        <v>92</v>
      </c>
    </row>
    <row r="16" spans="2:4" ht="17" x14ac:dyDescent="0.2">
      <c r="B16" s="6" t="s">
        <v>93</v>
      </c>
      <c r="C16" s="6" t="s">
        <v>91</v>
      </c>
      <c r="D16" s="6" t="s">
        <v>94</v>
      </c>
    </row>
    <row r="17" spans="2:4" ht="34" x14ac:dyDescent="0.2">
      <c r="B17" s="6" t="s">
        <v>95</v>
      </c>
      <c r="C17" s="6" t="s">
        <v>96</v>
      </c>
      <c r="D17" s="6" t="s">
        <v>97</v>
      </c>
    </row>
    <row r="18" spans="2:4" ht="17" x14ac:dyDescent="0.2">
      <c r="B18" s="6" t="s">
        <v>98</v>
      </c>
      <c r="C18" s="6" t="s">
        <v>99</v>
      </c>
      <c r="D18" s="6" t="s">
        <v>100</v>
      </c>
    </row>
    <row r="19" spans="2:4" ht="17" x14ac:dyDescent="0.2">
      <c r="B19" s="6" t="s">
        <v>101</v>
      </c>
      <c r="C19" s="6" t="s">
        <v>102</v>
      </c>
      <c r="D19" s="6" t="s">
        <v>103</v>
      </c>
    </row>
    <row r="20" spans="2:4" ht="34" x14ac:dyDescent="0.2">
      <c r="B20" s="6" t="s">
        <v>104</v>
      </c>
      <c r="C20" s="6" t="s">
        <v>105</v>
      </c>
      <c r="D20" s="6" t="s">
        <v>106</v>
      </c>
    </row>
    <row r="21" spans="2:4" ht="17" x14ac:dyDescent="0.2">
      <c r="B21" s="6" t="s">
        <v>107</v>
      </c>
      <c r="C21" s="6" t="s">
        <v>108</v>
      </c>
      <c r="D21" s="6" t="s">
        <v>109</v>
      </c>
    </row>
    <row r="22" spans="2:4" ht="34" x14ac:dyDescent="0.2">
      <c r="B22" s="6" t="s">
        <v>110</v>
      </c>
      <c r="C22" s="6" t="s">
        <v>111</v>
      </c>
      <c r="D22" s="6" t="s">
        <v>112</v>
      </c>
    </row>
    <row r="23" spans="2:4" ht="34" x14ac:dyDescent="0.2">
      <c r="B23" s="6" t="s">
        <v>113</v>
      </c>
      <c r="C23" s="6" t="s">
        <v>114</v>
      </c>
      <c r="D23" s="6" t="s">
        <v>115</v>
      </c>
    </row>
    <row r="24" spans="2:4" ht="17" x14ac:dyDescent="0.2">
      <c r="B24" s="6" t="s">
        <v>116</v>
      </c>
      <c r="C24" s="6" t="s">
        <v>117</v>
      </c>
      <c r="D24" s="6" t="s">
        <v>118</v>
      </c>
    </row>
    <row r="27" spans="2:4" ht="19" x14ac:dyDescent="0.2">
      <c r="B27" s="5" t="s">
        <v>119</v>
      </c>
    </row>
    <row r="28" spans="2:4" ht="17" x14ac:dyDescent="0.2">
      <c r="B28" s="7" t="s">
        <v>87</v>
      </c>
      <c r="C28" s="7" t="s">
        <v>88</v>
      </c>
      <c r="D28" s="7" t="s">
        <v>89</v>
      </c>
    </row>
    <row r="29" spans="2:4" ht="17" x14ac:dyDescent="0.2">
      <c r="B29" s="6" t="s">
        <v>95</v>
      </c>
      <c r="C29" s="6" t="s">
        <v>91</v>
      </c>
      <c r="D29" s="6" t="s">
        <v>120</v>
      </c>
    </row>
    <row r="30" spans="2:4" ht="17" x14ac:dyDescent="0.2">
      <c r="B30" s="6" t="s">
        <v>101</v>
      </c>
      <c r="C30" s="6" t="s">
        <v>121</v>
      </c>
      <c r="D30" s="6" t="s">
        <v>122</v>
      </c>
    </row>
    <row r="31" spans="2:4" ht="17" x14ac:dyDescent="0.2">
      <c r="B31" s="6" t="s">
        <v>123</v>
      </c>
      <c r="C31" s="6" t="s">
        <v>124</v>
      </c>
      <c r="D31" s="6" t="s">
        <v>125</v>
      </c>
    </row>
    <row r="32" spans="2:4" ht="17" x14ac:dyDescent="0.2">
      <c r="B32" s="6" t="s">
        <v>107</v>
      </c>
      <c r="C32" s="6" t="s">
        <v>126</v>
      </c>
      <c r="D32" s="6" t="s">
        <v>127</v>
      </c>
    </row>
    <row r="33" spans="2:4" ht="17" x14ac:dyDescent="0.2">
      <c r="B33" s="6" t="s">
        <v>128</v>
      </c>
      <c r="C33" s="6" t="b">
        <v>1</v>
      </c>
      <c r="D33" s="6" t="s">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BFFE-C5C0-DC42-AB3C-7F731444F37D}">
  <dimension ref="A2:Z14"/>
  <sheetViews>
    <sheetView showGridLines="0" workbookViewId="0"/>
  </sheetViews>
  <sheetFormatPr baseColWidth="10" defaultRowHeight="16" x14ac:dyDescent="0.2"/>
  <cols>
    <col min="1" max="1" width="2" style="1" customWidth="1"/>
    <col min="2" max="2" width="50" style="1" customWidth="1"/>
    <col min="3" max="4" width="2" style="1" customWidth="1"/>
    <col min="5" max="5" width="2.6640625" style="1" customWidth="1"/>
    <col min="6" max="6" width="23.33203125" style="1" customWidth="1"/>
    <col min="7" max="26" width="10.83203125" style="1"/>
  </cols>
  <sheetData>
    <row r="2" spans="2:6" ht="27" x14ac:dyDescent="0.2">
      <c r="B2" s="2" t="s">
        <v>130</v>
      </c>
    </row>
    <row r="3" spans="2:6" ht="17" x14ac:dyDescent="0.2">
      <c r="B3" s="3" t="s">
        <v>131</v>
      </c>
    </row>
    <row r="4" spans="2:6" x14ac:dyDescent="0.2">
      <c r="F4" s="10" t="s">
        <v>133</v>
      </c>
    </row>
    <row r="5" spans="2:6" ht="34" x14ac:dyDescent="0.2">
      <c r="B5" s="4" t="s">
        <v>132</v>
      </c>
      <c r="F5" s="11" t="str">
        <f ca="1">_xlfn.FORMULATEXT(F6)</f>
        <v>=TB.VALUE(Guide_Dataset, INDEX(Guide_StateTags, 1))</v>
      </c>
    </row>
    <row r="6" spans="2:6" x14ac:dyDescent="0.2">
      <c r="F6" s="1" cm="1">
        <f t="array" ref="F6">_xldudf_TB_VALUE(Guide_Dataset, INDEX(Guide_StateTags, 1))</f>
        <v>20</v>
      </c>
    </row>
    <row r="7" spans="2:6" ht="51" x14ac:dyDescent="0.2">
      <c r="B7" s="4" t="s">
        <v>134</v>
      </c>
    </row>
    <row r="8" spans="2:6" x14ac:dyDescent="0.2">
      <c r="F8" s="10" t="s">
        <v>135</v>
      </c>
    </row>
    <row r="9" spans="2:6" x14ac:dyDescent="0.2">
      <c r="F9" s="11" t="str">
        <f ca="1">_xlfn.FORMULATEXT(F10)</f>
        <v>=TB.VALUE(Guide_Dataset, INDEX(Guide_StateTags, 1), "display")</v>
      </c>
    </row>
    <row r="10" spans="2:6" ht="19" x14ac:dyDescent="0.2">
      <c r="B10" s="5" t="s">
        <v>137</v>
      </c>
      <c r="F10" s="1" t="str" cm="1">
        <f t="array" ref="F10">_xldudf_TB_VALUE(Guide_Dataset, INDEX(Guide_StateTags, 1), "display")</f>
        <v>Running</v>
      </c>
    </row>
    <row r="11" spans="2:6" ht="34" x14ac:dyDescent="0.2">
      <c r="B11" s="4" t="s">
        <v>138</v>
      </c>
    </row>
    <row r="12" spans="2:6" ht="34" x14ac:dyDescent="0.2">
      <c r="B12" s="4" t="s">
        <v>139</v>
      </c>
      <c r="F12" s="10" t="s">
        <v>136</v>
      </c>
    </row>
    <row r="13" spans="2:6" x14ac:dyDescent="0.2">
      <c r="F13" s="11" t="str">
        <f ca="1">_xlfn.FORMULATEXT(F14)</f>
        <v>=TB.VALUE(Guide_Dataset, Guide_AnalogTag, "display")</v>
      </c>
    </row>
    <row r="14" spans="2:6" x14ac:dyDescent="0.2">
      <c r="F14" s="1" t="str" cm="1">
        <f t="array" ref="F14">_xldudf_TB_VALUE(Guide_Dataset, Guide_AnalogTag, "display")</f>
        <v>65.0652840732628 °F</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8F3DC-9C34-3345-925C-CA4AA836052B}">
  <dimension ref="A2:Z18"/>
  <sheetViews>
    <sheetView showGridLines="0" workbookViewId="0"/>
  </sheetViews>
  <sheetFormatPr baseColWidth="10" defaultRowHeight="16" x14ac:dyDescent="0.2"/>
  <cols>
    <col min="1" max="1" width="2" style="1" customWidth="1"/>
    <col min="2" max="3" width="50" style="1" customWidth="1"/>
    <col min="4" max="4" width="33.33203125" style="1" customWidth="1"/>
    <col min="5" max="5" width="2.6640625" style="1" customWidth="1"/>
    <col min="6" max="6" width="23.33203125" style="1" customWidth="1"/>
    <col min="7" max="26" width="10.83203125" style="1"/>
  </cols>
  <sheetData>
    <row r="2" spans="2:11" ht="27" x14ac:dyDescent="0.2">
      <c r="B2" s="2" t="s">
        <v>140</v>
      </c>
    </row>
    <row r="3" spans="2:11" ht="34" x14ac:dyDescent="0.2">
      <c r="B3" s="3" t="s">
        <v>141</v>
      </c>
    </row>
    <row r="4" spans="2:11" x14ac:dyDescent="0.2">
      <c r="F4" s="10" t="s">
        <v>146</v>
      </c>
    </row>
    <row r="5" spans="2:11" ht="34" x14ac:dyDescent="0.2">
      <c r="B5" s="4" t="s">
        <v>142</v>
      </c>
      <c r="F5" s="11" t="str">
        <f ca="1">_xlfn.FORMULATEXT(F6)</f>
        <v>=TB.TAGS(Guide_Dataset, Guide_Query)</v>
      </c>
    </row>
    <row r="6" spans="2:11" x14ac:dyDescent="0.2">
      <c r="F6" s="1" t="str" cm="1">
        <f t="array" ref="F6:K10">_xldudf_TB_TAGS(Guide_Dataset, Guide_Query)</f>
        <v>Name</v>
      </c>
      <c r="G6" s="1" t="str">
        <v>Description</v>
      </c>
      <c r="H6" s="1" t="str">
        <v>Data Type</v>
      </c>
      <c r="I6" s="1" t="str">
        <v>Unit</v>
      </c>
      <c r="J6" s="1" t="str">
        <v>Current Value</v>
      </c>
      <c r="K6" s="1" t="str">
        <v>Current Time</v>
      </c>
    </row>
    <row r="7" spans="2:11" ht="34" x14ac:dyDescent="0.2">
      <c r="B7" s="9" t="s">
        <v>143</v>
      </c>
      <c r="C7" s="12" t="s">
        <v>144</v>
      </c>
      <c r="D7" s="13" t="s">
        <v>145</v>
      </c>
      <c r="F7" s="1" t="str">
        <v>FL001.State</v>
      </c>
      <c r="G7" s="1" t="str">
        <v>Filler 1 State</v>
      </c>
      <c r="H7" s="1" t="str">
        <v>System.Int32</v>
      </c>
      <c r="I7" s="1" t="str">
        <v>(enumerated)</v>
      </c>
      <c r="J7" s="1">
        <v>20</v>
      </c>
      <c r="K7" s="1" vm="1">
        <v>46317.64828947917</v>
      </c>
    </row>
    <row r="8" spans="2:11" x14ac:dyDescent="0.2">
      <c r="F8" s="1" t="str">
        <v>FL002.State</v>
      </c>
      <c r="G8" s="1" t="str">
        <v>Filler 2 State</v>
      </c>
      <c r="H8" s="1" t="str">
        <v>System.Int32</v>
      </c>
      <c r="I8" s="1" t="str">
        <v>(enumerated)</v>
      </c>
      <c r="J8" s="1">
        <v>30</v>
      </c>
      <c r="K8" s="1" vm="3">
        <v>46317.667217418981</v>
      </c>
    </row>
    <row r="9" spans="2:11" x14ac:dyDescent="0.2">
      <c r="F9" s="1" t="str">
        <v>FL003.State</v>
      </c>
      <c r="G9" s="1" t="str">
        <v>Filler 3 State</v>
      </c>
      <c r="H9" s="1" t="str">
        <v>System.Int32</v>
      </c>
      <c r="I9" s="1" t="str">
        <v>(enumerated)</v>
      </c>
      <c r="J9" s="1">
        <v>10</v>
      </c>
      <c r="K9" s="1" vm="5">
        <v>46317.639552337962</v>
      </c>
    </row>
    <row r="10" spans="2:11" ht="19" x14ac:dyDescent="0.2">
      <c r="B10" s="5" t="s">
        <v>147</v>
      </c>
      <c r="F10" s="1" t="str">
        <v>Dataset.State</v>
      </c>
      <c r="G10" s="1" t="str">
        <v>System state</v>
      </c>
      <c r="H10" s="1" t="str">
        <v>System.Int16</v>
      </c>
      <c r="I10" s="1" t="str">
        <v>(enumerated)</v>
      </c>
      <c r="J10" s="1">
        <v>2</v>
      </c>
      <c r="K10" s="1" vm="9">
        <v>46316.730883078708</v>
      </c>
    </row>
    <row r="11" spans="2:11" ht="17" x14ac:dyDescent="0.2">
      <c r="B11" s="7" t="s">
        <v>143</v>
      </c>
      <c r="C11" s="7" t="s">
        <v>148</v>
      </c>
    </row>
    <row r="12" spans="2:11" ht="17" x14ac:dyDescent="0.2">
      <c r="B12" s="6" t="s">
        <v>149</v>
      </c>
      <c r="C12" s="6" t="s">
        <v>150</v>
      </c>
    </row>
    <row r="13" spans="2:11" ht="17" x14ac:dyDescent="0.2">
      <c r="B13" s="6" t="s">
        <v>151</v>
      </c>
      <c r="C13" s="6" t="s">
        <v>152</v>
      </c>
    </row>
    <row r="14" spans="2:11" ht="17" x14ac:dyDescent="0.2">
      <c r="B14" s="6" t="s">
        <v>153</v>
      </c>
      <c r="C14" s="6" t="s">
        <v>154</v>
      </c>
    </row>
    <row r="15" spans="2:11" ht="17" x14ac:dyDescent="0.2">
      <c r="B15" s="6" t="s">
        <v>155</v>
      </c>
      <c r="C15" s="6" t="s">
        <v>156</v>
      </c>
    </row>
    <row r="16" spans="2:11" ht="17" x14ac:dyDescent="0.2">
      <c r="B16" s="6" t="s">
        <v>157</v>
      </c>
      <c r="C16" s="6" t="s">
        <v>158</v>
      </c>
    </row>
    <row r="18" spans="2:2" ht="34" x14ac:dyDescent="0.2">
      <c r="B18" s="4" t="s">
        <v>159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BEB7-890B-C94F-8DC2-43AC78F00EA1}">
  <dimension ref="A2:Z43"/>
  <sheetViews>
    <sheetView showGridLines="0" workbookViewId="0"/>
  </sheetViews>
  <sheetFormatPr baseColWidth="10" defaultRowHeight="16" x14ac:dyDescent="0.2"/>
  <cols>
    <col min="1" max="1" width="2" style="1" customWidth="1"/>
    <col min="2" max="2" width="50" style="1" customWidth="1"/>
    <col min="3" max="4" width="2" style="1" customWidth="1"/>
    <col min="5" max="5" width="2.6640625" style="1" customWidth="1"/>
    <col min="6" max="6" width="23.33203125" style="1" customWidth="1"/>
    <col min="7" max="26" width="10.83203125" style="1"/>
  </cols>
  <sheetData>
    <row r="2" spans="2:7" ht="27" x14ac:dyDescent="0.2">
      <c r="B2" s="2" t="s">
        <v>160</v>
      </c>
    </row>
    <row r="3" spans="2:7" ht="17" x14ac:dyDescent="0.2">
      <c r="B3" s="3" t="s">
        <v>161</v>
      </c>
    </row>
    <row r="4" spans="2:7" x14ac:dyDescent="0.2">
      <c r="F4" s="10" t="s">
        <v>165</v>
      </c>
    </row>
    <row r="5" spans="2:7" ht="34" x14ac:dyDescent="0.2">
      <c r="B5" s="4" t="s">
        <v>162</v>
      </c>
      <c r="F5" s="11" t="str">
        <f ca="1">_xlfn.FORMULATEXT(F6)</f>
        <v>=TB.HISTORY(Guide_Dataset, INDEX(Guide_StateTags, 1), Guide_Start)</v>
      </c>
    </row>
    <row r="6" spans="2:7" ht="17" x14ac:dyDescent="0.2">
      <c r="B6" s="4" t="s">
        <v>163</v>
      </c>
      <c r="F6" s="1" t="str" cm="1">
        <f t="array" ref="F6:G43">_xldudf_TB_HISTORY(Guide_Dataset, INDEX(Guide_StateTags, 1), Guide_Start)</f>
        <v>Timestamp</v>
      </c>
      <c r="G6" s="1" t="str">
        <v>FL001.State</v>
      </c>
    </row>
    <row r="7" spans="2:7" ht="34" x14ac:dyDescent="0.2">
      <c r="B7" s="4" t="s">
        <v>164</v>
      </c>
      <c r="F7" s="1" vm="20">
        <v>46316.679009664353</v>
      </c>
      <c r="G7" s="1">
        <v>10</v>
      </c>
    </row>
    <row r="8" spans="2:7" x14ac:dyDescent="0.2">
      <c r="F8" s="1" vm="21">
        <v>46316.684162361111</v>
      </c>
      <c r="G8" s="1">
        <v>20</v>
      </c>
    </row>
    <row r="9" spans="2:7" x14ac:dyDescent="0.2">
      <c r="F9" s="1" vm="22">
        <v>46316.746659918979</v>
      </c>
      <c r="G9" s="1" vm="23">
        <v>20</v>
      </c>
    </row>
    <row r="10" spans="2:7" ht="19" x14ac:dyDescent="0.2">
      <c r="B10" s="5" t="s">
        <v>166</v>
      </c>
      <c r="F10" s="1" vm="24">
        <v>46316.747847881939</v>
      </c>
      <c r="G10" s="1">
        <v>30</v>
      </c>
    </row>
    <row r="11" spans="2:7" ht="34" x14ac:dyDescent="0.2">
      <c r="B11" s="4" t="s">
        <v>167</v>
      </c>
      <c r="F11" s="1" vm="25">
        <v>46316.780670879627</v>
      </c>
      <c r="G11" s="1">
        <v>0</v>
      </c>
    </row>
    <row r="12" spans="2:7" ht="51" x14ac:dyDescent="0.2">
      <c r="B12" s="4" t="s">
        <v>168</v>
      </c>
      <c r="F12" s="1" vm="26">
        <v>46316.80122144676</v>
      </c>
      <c r="G12" s="1">
        <v>10</v>
      </c>
    </row>
    <row r="13" spans="2:7" ht="34" x14ac:dyDescent="0.2">
      <c r="B13" s="4" t="s">
        <v>169</v>
      </c>
      <c r="F13" s="1" vm="27">
        <v>46316.829366423612</v>
      </c>
      <c r="G13" s="1">
        <v>20</v>
      </c>
    </row>
    <row r="14" spans="2:7" x14ac:dyDescent="0.2">
      <c r="F14" s="1" vm="28">
        <v>46316.830403888889</v>
      </c>
      <c r="G14" s="1" vm="23">
        <v>20</v>
      </c>
    </row>
    <row r="15" spans="2:7" x14ac:dyDescent="0.2">
      <c r="F15" s="1" vm="29">
        <v>46316.853719224542</v>
      </c>
      <c r="G15" s="1">
        <v>30</v>
      </c>
    </row>
    <row r="16" spans="2:7" x14ac:dyDescent="0.2">
      <c r="F16" s="1" vm="30">
        <v>46316.891065474541</v>
      </c>
      <c r="G16" s="1" vm="31">
        <v>30</v>
      </c>
    </row>
    <row r="17" spans="6:7" x14ac:dyDescent="0.2">
      <c r="F17" s="1" vm="32">
        <v>46316.896541261573</v>
      </c>
      <c r="G17" s="1">
        <v>0</v>
      </c>
    </row>
    <row r="18" spans="6:7" x14ac:dyDescent="0.2">
      <c r="F18" s="1" vm="33">
        <v>46316.909266226852</v>
      </c>
      <c r="G18" s="1">
        <v>10</v>
      </c>
    </row>
    <row r="19" spans="6:7" x14ac:dyDescent="0.2">
      <c r="F19" s="1" vm="34">
        <v>46316.939652881949</v>
      </c>
      <c r="G19" s="1">
        <v>20</v>
      </c>
    </row>
    <row r="20" spans="6:7" x14ac:dyDescent="0.2">
      <c r="F20" s="1" vm="35">
        <v>46317.000660833335</v>
      </c>
      <c r="G20" s="1">
        <v>30</v>
      </c>
    </row>
    <row r="21" spans="6:7" x14ac:dyDescent="0.2">
      <c r="F21" s="1" vm="36">
        <v>46317.026748888893</v>
      </c>
      <c r="G21" s="1">
        <v>0</v>
      </c>
    </row>
    <row r="22" spans="6:7" x14ac:dyDescent="0.2">
      <c r="F22" s="1" vm="37">
        <v>46317.052642812501</v>
      </c>
      <c r="G22" s="1">
        <v>10</v>
      </c>
    </row>
    <row r="23" spans="6:7" x14ac:dyDescent="0.2">
      <c r="F23" s="1" vm="38">
        <v>46317.114138078701</v>
      </c>
      <c r="G23" s="1">
        <v>20</v>
      </c>
    </row>
    <row r="24" spans="6:7" x14ac:dyDescent="0.2">
      <c r="F24" s="1" vm="39">
        <v>46317.155762060182</v>
      </c>
      <c r="G24" s="1">
        <v>30</v>
      </c>
    </row>
    <row r="25" spans="6:7" x14ac:dyDescent="0.2">
      <c r="F25" s="1" vm="40">
        <v>46317.180164004632</v>
      </c>
      <c r="G25" s="1">
        <v>0</v>
      </c>
    </row>
    <row r="26" spans="6:7" x14ac:dyDescent="0.2">
      <c r="F26" s="1" vm="41">
        <v>46317.207439166668</v>
      </c>
      <c r="G26" s="1">
        <v>10</v>
      </c>
    </row>
    <row r="27" spans="6:7" x14ac:dyDescent="0.2">
      <c r="F27" s="1" vm="42">
        <v>46317.253257037039</v>
      </c>
      <c r="G27" s="1" vm="43">
        <v>10</v>
      </c>
    </row>
    <row r="28" spans="6:7" x14ac:dyDescent="0.2">
      <c r="F28" s="1" vm="44">
        <v>46317.282849976851</v>
      </c>
      <c r="G28" s="1">
        <v>20</v>
      </c>
    </row>
    <row r="29" spans="6:7" x14ac:dyDescent="0.2">
      <c r="F29" s="1" vm="45">
        <v>46317.303595231482</v>
      </c>
      <c r="G29" s="1" vm="23">
        <v>20</v>
      </c>
    </row>
    <row r="30" spans="6:7" x14ac:dyDescent="0.2">
      <c r="F30" s="1" vm="46">
        <v>46317.383570798615</v>
      </c>
      <c r="G30" s="1">
        <v>30</v>
      </c>
    </row>
    <row r="31" spans="6:7" x14ac:dyDescent="0.2">
      <c r="F31" s="1" vm="47">
        <v>46317.399248622685</v>
      </c>
      <c r="G31" s="1" vm="31">
        <v>30</v>
      </c>
    </row>
    <row r="32" spans="6:7" x14ac:dyDescent="0.2">
      <c r="F32" s="1" vm="48">
        <v>46317.412689155091</v>
      </c>
      <c r="G32" s="1">
        <v>0</v>
      </c>
    </row>
    <row r="33" spans="6:7" x14ac:dyDescent="0.2">
      <c r="F33" s="1" vm="49">
        <v>46317.422820428241</v>
      </c>
      <c r="G33" s="1" vm="50">
        <v>0</v>
      </c>
    </row>
    <row r="34" spans="6:7" x14ac:dyDescent="0.2">
      <c r="F34" s="1" vm="51">
        <v>46317.439806469905</v>
      </c>
      <c r="G34" s="1">
        <v>10</v>
      </c>
    </row>
    <row r="35" spans="6:7" x14ac:dyDescent="0.2">
      <c r="F35" s="1" vm="52">
        <v>46317.460821527777</v>
      </c>
      <c r="G35" s="1" vm="43">
        <v>10</v>
      </c>
    </row>
    <row r="36" spans="6:7" x14ac:dyDescent="0.2">
      <c r="F36" s="1" vm="53">
        <v>46317.512912824073</v>
      </c>
      <c r="G36" s="1">
        <v>20</v>
      </c>
    </row>
    <row r="37" spans="6:7" x14ac:dyDescent="0.2">
      <c r="F37" s="1" vm="54">
        <v>46317.517545497685</v>
      </c>
      <c r="G37" s="1" vm="23">
        <v>20</v>
      </c>
    </row>
    <row r="38" spans="6:7" x14ac:dyDescent="0.2">
      <c r="F38" s="1" vm="55">
        <v>46317.554431099532</v>
      </c>
      <c r="G38" s="1">
        <v>30</v>
      </c>
    </row>
    <row r="39" spans="6:7" x14ac:dyDescent="0.2">
      <c r="F39" s="1" vm="56">
        <v>46317.559443726852</v>
      </c>
      <c r="G39" s="1" vm="31">
        <v>30</v>
      </c>
    </row>
    <row r="40" spans="6:7" x14ac:dyDescent="0.2">
      <c r="F40" s="1" vm="57">
        <v>46317.589731747685</v>
      </c>
      <c r="G40" s="1">
        <v>0</v>
      </c>
    </row>
    <row r="41" spans="6:7" x14ac:dyDescent="0.2">
      <c r="F41" s="1" vm="58">
        <v>46317.605376886575</v>
      </c>
      <c r="G41" s="1" vm="50">
        <v>0</v>
      </c>
    </row>
    <row r="42" spans="6:7" x14ac:dyDescent="0.2">
      <c r="F42" s="1" vm="59">
        <v>46317.607526851847</v>
      </c>
      <c r="G42" s="1">
        <v>10</v>
      </c>
    </row>
    <row r="43" spans="6:7" x14ac:dyDescent="0.2">
      <c r="F43" s="1" vm="1">
        <v>46317.64828947917</v>
      </c>
      <c r="G43" s="1">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F048-3E0C-6C47-AEBA-1A82BBB1553E}">
  <dimension ref="A2:Z30"/>
  <sheetViews>
    <sheetView showGridLines="0" workbookViewId="0"/>
  </sheetViews>
  <sheetFormatPr baseColWidth="10" defaultRowHeight="16" x14ac:dyDescent="0.2"/>
  <cols>
    <col min="1" max="1" width="2" style="1" customWidth="1"/>
    <col min="2" max="2" width="50" style="1" customWidth="1"/>
    <col min="3" max="4" width="2" style="1" customWidth="1"/>
    <col min="5" max="5" width="2.6640625" style="1" customWidth="1"/>
    <col min="6" max="6" width="23.33203125" style="1" customWidth="1"/>
    <col min="7" max="8" width="10.83203125" style="1"/>
    <col min="9" max="9" width="23.33203125" style="1" customWidth="1"/>
    <col min="10" max="11" width="10.83203125" style="1"/>
    <col min="12" max="12" width="23.33203125" style="1" customWidth="1"/>
    <col min="13" max="14" width="10.83203125" style="1"/>
    <col min="15" max="15" width="23.33203125" style="1" customWidth="1"/>
    <col min="16" max="26" width="10.83203125" style="1"/>
  </cols>
  <sheetData>
    <row r="2" spans="2:16" ht="27" x14ac:dyDescent="0.2">
      <c r="B2" s="2" t="s">
        <v>170</v>
      </c>
    </row>
    <row r="3" spans="2:16" ht="34" x14ac:dyDescent="0.2">
      <c r="B3" s="3" t="s">
        <v>171</v>
      </c>
    </row>
    <row r="4" spans="2:16" x14ac:dyDescent="0.2">
      <c r="F4" s="10" t="s">
        <v>175</v>
      </c>
      <c r="I4" s="10" t="s">
        <v>176</v>
      </c>
      <c r="L4" s="10" t="s">
        <v>177</v>
      </c>
      <c r="O4" s="10" t="s">
        <v>178</v>
      </c>
    </row>
    <row r="5" spans="2:16" ht="34" x14ac:dyDescent="0.2">
      <c r="B5" s="4" t="s">
        <v>172</v>
      </c>
      <c r="F5" s="11" t="str">
        <f ca="1">_xlfn.FORMULATEXT(F6)</f>
        <v>=TB.HISTORY(Guide_Dataset, Guide_AnalogTag, Guide_Start,, "1h", "avg")</v>
      </c>
      <c r="I5" s="11" t="str">
        <f ca="1">_xlfn.FORMULATEXT(I6)</f>
        <v>=TB.HISTORY(Guide_Dataset, Guide_AnalogTag, Guide_Start,, "1h", "min")</v>
      </c>
      <c r="L5" s="11" t="str">
        <f ca="1">_xlfn.FORMULATEXT(L6)</f>
        <v>=TB.HISTORY(Guide_Dataset, Guide_AnalogTag, Guide_Start,, "1h", "max")</v>
      </c>
      <c r="O5" s="11" t="str">
        <f ca="1">_xlfn.FORMULATEXT(O6)</f>
        <v>=TB.HISTORY(Guide_Dataset, Guide_AnalogTag, Guide_Start,, "1h", "count")</v>
      </c>
    </row>
    <row r="6" spans="2:16" ht="34" x14ac:dyDescent="0.2">
      <c r="B6" s="4" t="s">
        <v>173</v>
      </c>
      <c r="F6" s="1" t="str" cm="1">
        <f t="array" ref="F6:G30">_xldudf_TB_HISTORY(Guide_Dataset, Guide_AnalogTag, Guide_Start,, "1h", "avg")</f>
        <v>Timestamp</v>
      </c>
      <c r="G6" s="1" t="str">
        <v>131-TT-001.PV</v>
      </c>
      <c r="I6" s="1" t="str" cm="1">
        <f t="array" ref="I6:J30">_xldudf_TB_HISTORY(Guide_Dataset, Guide_AnalogTag, Guide_Start,, "1h", "min")</f>
        <v>Timestamp</v>
      </c>
      <c r="J6" s="1" t="str">
        <v>131-TT-001.PV</v>
      </c>
      <c r="L6" s="1" t="str" cm="1">
        <f t="array" ref="L6:M30">_xldudf_TB_HISTORY(Guide_Dataset, Guide_AnalogTag, Guide_Start,, "1h", "max")</f>
        <v>Timestamp</v>
      </c>
      <c r="M6" s="1" t="str">
        <v>131-TT-001.PV</v>
      </c>
      <c r="O6" s="1" t="str" cm="1">
        <f t="array" ref="O6:P30">_xldudf_TB_HISTORY(Guide_Dataset, Guide_AnalogTag, Guide_Start,, "1h", "count")</f>
        <v>Timestamp</v>
      </c>
      <c r="P6" s="1" t="str">
        <v>131-TT-001.PV</v>
      </c>
    </row>
    <row r="7" spans="2:16" ht="34" x14ac:dyDescent="0.2">
      <c r="B7" s="4" t="s">
        <v>174</v>
      </c>
      <c r="F7" s="1" vm="60">
        <v>46316.679009699074</v>
      </c>
      <c r="G7" s="1">
        <v>64.53092100894095</v>
      </c>
      <c r="I7" s="1" vm="61">
        <v>46316.67900956019</v>
      </c>
      <c r="J7" s="1">
        <v>60.183196948805517</v>
      </c>
      <c r="L7" s="1" vm="20">
        <v>46316.679009664353</v>
      </c>
      <c r="M7" s="1">
        <v>65.449837042748953</v>
      </c>
      <c r="O7" s="1" vm="62">
        <v>46316.679009502317</v>
      </c>
      <c r="P7" s="1">
        <v>2401</v>
      </c>
    </row>
    <row r="8" spans="2:16" x14ac:dyDescent="0.2">
      <c r="F8" s="1" vm="63">
        <v>46316.720676365745</v>
      </c>
      <c r="G8" s="1" vm="64">
        <v>61.288112283893142</v>
      </c>
      <c r="I8" s="1" vm="65">
        <v>46316.720676226847</v>
      </c>
      <c r="J8" s="1" vm="66">
        <v>44.116648766610162</v>
      </c>
      <c r="L8" s="1" vm="67">
        <v>46316.720676331017</v>
      </c>
      <c r="M8" s="1" vm="68">
        <v>65.449896638552559</v>
      </c>
      <c r="O8" s="1" vm="69">
        <v>46316.720676168981</v>
      </c>
      <c r="P8" s="1" vm="70">
        <v>2407</v>
      </c>
    </row>
    <row r="9" spans="2:16" x14ac:dyDescent="0.2">
      <c r="F9" s="1" vm="71">
        <v>46316.762343032402</v>
      </c>
      <c r="G9" s="1">
        <v>24.080950102817248</v>
      </c>
      <c r="I9" s="1" vm="72">
        <v>46316.762342893519</v>
      </c>
      <c r="J9" s="1">
        <v>17.500678301582102</v>
      </c>
      <c r="L9" s="1" vm="73">
        <v>46316.762342997681</v>
      </c>
      <c r="M9" s="1">
        <v>44.639077761739564</v>
      </c>
      <c r="O9" s="1" vm="74">
        <v>46316.762342835646</v>
      </c>
      <c r="P9" s="1">
        <v>2402</v>
      </c>
    </row>
    <row r="10" spans="2:16" ht="19" x14ac:dyDescent="0.2">
      <c r="B10" s="5" t="s">
        <v>137</v>
      </c>
      <c r="F10" s="1" vm="75">
        <v>46316.804009699074</v>
      </c>
      <c r="G10" s="1" vm="76">
        <v>52.049877131259485</v>
      </c>
      <c r="I10" s="1" vm="77">
        <v>46316.80400956019</v>
      </c>
      <c r="J10" s="1" vm="78">
        <v>22.431090397793628</v>
      </c>
      <c r="L10" s="1" vm="79">
        <v>46316.804009664353</v>
      </c>
      <c r="M10" s="1" vm="80">
        <v>65.449185635126</v>
      </c>
      <c r="O10" s="1" vm="81">
        <v>46316.804009502317</v>
      </c>
      <c r="P10" s="1" vm="82">
        <v>2406</v>
      </c>
    </row>
    <row r="11" spans="2:16" ht="51" x14ac:dyDescent="0.2">
      <c r="B11" s="4" t="s">
        <v>179</v>
      </c>
      <c r="F11" s="1" vm="83">
        <v>46316.845676365745</v>
      </c>
      <c r="G11" s="1" vm="84">
        <v>50.32338818848001</v>
      </c>
      <c r="I11" s="1" vm="85">
        <v>46316.845676226847</v>
      </c>
      <c r="J11" s="1" vm="86">
        <v>28.098038880877773</v>
      </c>
      <c r="L11" s="1" vm="87">
        <v>46316.845676331017</v>
      </c>
      <c r="M11" s="1" vm="88">
        <v>65.645075693663074</v>
      </c>
      <c r="O11" s="1" vm="89">
        <v>46316.845676168981</v>
      </c>
      <c r="P11" s="1" vm="90">
        <v>2398</v>
      </c>
    </row>
    <row r="12" spans="2:16" ht="34" x14ac:dyDescent="0.2">
      <c r="B12" s="4" t="s">
        <v>180</v>
      </c>
      <c r="F12" s="1" vm="91">
        <v>46316.887343032402</v>
      </c>
      <c r="G12" s="1" vm="92">
        <v>26.3479914452797</v>
      </c>
      <c r="I12" s="1" vm="93">
        <v>46316.887342893519</v>
      </c>
      <c r="J12" s="1" vm="94">
        <v>17.142064289888047</v>
      </c>
      <c r="L12" s="1" vm="95">
        <v>46316.887342997681</v>
      </c>
      <c r="M12" s="1" vm="96">
        <v>48.817453720403684</v>
      </c>
      <c r="O12" s="1" vm="97">
        <v>46316.887342835646</v>
      </c>
      <c r="P12" s="1" vm="98">
        <v>2403</v>
      </c>
    </row>
    <row r="13" spans="2:16" x14ac:dyDescent="0.2">
      <c r="F13" s="1" vm="99">
        <v>46316.929009699074</v>
      </c>
      <c r="G13" s="1">
        <v>62.721898246029696</v>
      </c>
      <c r="I13" s="1" vm="100">
        <v>46316.92900956019</v>
      </c>
      <c r="J13" s="1">
        <v>48.38624886981507</v>
      </c>
      <c r="L13" s="1" vm="101">
        <v>46316.929009664353</v>
      </c>
      <c r="M13" s="1">
        <v>65.449042649687158</v>
      </c>
      <c r="O13" s="1" vm="102">
        <v>46316.929009502317</v>
      </c>
      <c r="P13" s="1">
        <v>2405</v>
      </c>
    </row>
    <row r="14" spans="2:16" x14ac:dyDescent="0.2">
      <c r="F14" s="1" vm="103">
        <v>46316.970676365745</v>
      </c>
      <c r="G14" s="1">
        <v>61.74064807965329</v>
      </c>
      <c r="I14" s="1" vm="104">
        <v>46316.970676226847</v>
      </c>
      <c r="J14" s="1">
        <v>43.206209187819809</v>
      </c>
      <c r="L14" s="1" vm="105">
        <v>46316.970676331017</v>
      </c>
      <c r="M14" s="1">
        <v>65.446453288100471</v>
      </c>
      <c r="O14" s="1" vm="106">
        <v>46316.970676168981</v>
      </c>
      <c r="P14" s="1">
        <v>2407</v>
      </c>
    </row>
    <row r="15" spans="2:16" x14ac:dyDescent="0.2">
      <c r="F15" s="1" vm="107">
        <v>46317.012343032402</v>
      </c>
      <c r="G15" s="1">
        <v>22.50817663594793</v>
      </c>
      <c r="I15" s="1" vm="108">
        <v>46317.012342893519</v>
      </c>
      <c r="J15" s="1">
        <v>17.465255125623681</v>
      </c>
      <c r="L15" s="1" vm="109">
        <v>46317.012342997681</v>
      </c>
      <c r="M15" s="1">
        <v>43.8294829372919</v>
      </c>
      <c r="O15" s="1" vm="110">
        <v>46317.012342835646</v>
      </c>
      <c r="P15" s="1">
        <v>2394</v>
      </c>
    </row>
    <row r="16" spans="2:16" x14ac:dyDescent="0.2">
      <c r="F16" s="1" vm="111">
        <v>46317.054009699074</v>
      </c>
      <c r="G16" s="1">
        <v>34.70334838468326</v>
      </c>
      <c r="I16" s="1" vm="112">
        <v>46317.05400956019</v>
      </c>
      <c r="J16" s="1">
        <v>18.24314583849889</v>
      </c>
      <c r="L16" s="1" vm="113">
        <v>46317.054009664353</v>
      </c>
      <c r="M16" s="1">
        <v>51.245307293834124</v>
      </c>
      <c r="O16" s="1" vm="114">
        <v>46317.054009502317</v>
      </c>
      <c r="P16" s="1">
        <v>2404</v>
      </c>
    </row>
    <row r="17" spans="6:16" x14ac:dyDescent="0.2">
      <c r="F17" s="1" vm="115">
        <v>46317.095676365745</v>
      </c>
      <c r="G17" s="1">
        <v>61.674159228821601</v>
      </c>
      <c r="I17" s="1" vm="116">
        <v>46317.095676226847</v>
      </c>
      <c r="J17" s="1">
        <v>50.122660487562747</v>
      </c>
      <c r="L17" s="1" vm="117">
        <v>46317.095676331017</v>
      </c>
      <c r="M17" s="1">
        <v>65.44823674810246</v>
      </c>
      <c r="O17" s="1" vm="118">
        <v>46317.095676168981</v>
      </c>
      <c r="P17" s="1">
        <v>2397</v>
      </c>
    </row>
    <row r="18" spans="6:16" x14ac:dyDescent="0.2">
      <c r="F18" s="1" vm="119">
        <v>46317.137343032402</v>
      </c>
      <c r="G18" s="1">
        <v>52.517086642282081</v>
      </c>
      <c r="I18" s="1" vm="120">
        <v>46317.137342893519</v>
      </c>
      <c r="J18" s="1">
        <v>20.49967798591657</v>
      </c>
      <c r="L18" s="1" vm="121">
        <v>46317.137342997681</v>
      </c>
      <c r="M18" s="1">
        <v>65.444702932257968</v>
      </c>
      <c r="O18" s="1" vm="122">
        <v>46317.137342835646</v>
      </c>
      <c r="P18" s="1">
        <v>2398</v>
      </c>
    </row>
    <row r="19" spans="6:16" x14ac:dyDescent="0.2">
      <c r="F19" s="1" vm="123">
        <v>46317.179009699074</v>
      </c>
      <c r="G19" s="1">
        <v>19.444783368638298</v>
      </c>
      <c r="I19" s="1" vm="124">
        <v>46317.17900956019</v>
      </c>
      <c r="J19" s="1">
        <v>17.500259039590315</v>
      </c>
      <c r="L19" s="1" vm="125">
        <v>46317.179009664353</v>
      </c>
      <c r="M19" s="1">
        <v>26.970107121035468</v>
      </c>
      <c r="O19" s="1" vm="126">
        <v>46317.179009502317</v>
      </c>
      <c r="P19" s="1">
        <v>2407</v>
      </c>
    </row>
    <row r="20" spans="6:16" x14ac:dyDescent="0.2">
      <c r="F20" s="1" vm="127">
        <v>46317.220676365745</v>
      </c>
      <c r="G20" s="1" vm="128">
        <v>39.30206258190546</v>
      </c>
      <c r="I20" s="1" vm="129">
        <v>46317.220676226847</v>
      </c>
      <c r="J20" s="1" vm="130">
        <v>26.010420548008071</v>
      </c>
      <c r="L20" s="1" vm="131">
        <v>46317.220676331017</v>
      </c>
      <c r="M20" s="1" vm="132">
        <v>52.657302889182851</v>
      </c>
      <c r="O20" s="1" vm="133">
        <v>46317.220676168981</v>
      </c>
      <c r="P20" s="1" vm="134">
        <v>2394</v>
      </c>
    </row>
    <row r="21" spans="6:16" x14ac:dyDescent="0.2">
      <c r="F21" s="1" vm="135">
        <v>46317.262343032402</v>
      </c>
      <c r="G21" s="1" vm="136">
        <v>61.660991758359458</v>
      </c>
      <c r="I21" s="1" vm="137">
        <v>46317.262342893519</v>
      </c>
      <c r="J21" s="1" vm="138">
        <v>51.671739986768785</v>
      </c>
      <c r="L21" s="1" vm="139">
        <v>46317.262342997681</v>
      </c>
      <c r="M21" s="1" vm="140">
        <v>65.449128308258011</v>
      </c>
      <c r="O21" s="1" vm="141">
        <v>46317.262342835646</v>
      </c>
      <c r="P21" s="1" vm="142">
        <v>2404</v>
      </c>
    </row>
    <row r="22" spans="6:16" x14ac:dyDescent="0.2">
      <c r="F22" s="1" vm="143">
        <v>46317.304009699074</v>
      </c>
      <c r="G22" s="1" vm="144">
        <v>64.788155820210235</v>
      </c>
      <c r="I22" s="1" vm="145">
        <v>46317.30400956019</v>
      </c>
      <c r="J22" s="1" vm="146">
        <v>64.15085978174973</v>
      </c>
      <c r="L22" s="1" vm="147">
        <v>46317.304009664353</v>
      </c>
      <c r="M22" s="1" vm="148">
        <v>65.449513698094691</v>
      </c>
      <c r="O22" s="1" vm="149">
        <v>46317.304009502317</v>
      </c>
      <c r="P22" s="1" vm="150">
        <v>2405</v>
      </c>
    </row>
    <row r="23" spans="6:16" x14ac:dyDescent="0.2">
      <c r="F23" s="1" vm="151">
        <v>46317.345676365745</v>
      </c>
      <c r="G23" s="1" vm="152">
        <v>64.583338677732314</v>
      </c>
      <c r="I23" s="1" vm="153">
        <v>46317.345676226847</v>
      </c>
      <c r="J23" s="1" vm="154">
        <v>58.992944977637556</v>
      </c>
      <c r="L23" s="1" vm="155">
        <v>46317.345676331017</v>
      </c>
      <c r="M23" s="1" vm="156">
        <v>65.568782329424025</v>
      </c>
      <c r="O23" s="1" vm="157">
        <v>46317.345676168981</v>
      </c>
      <c r="P23" s="1" vm="158">
        <v>2397</v>
      </c>
    </row>
    <row r="24" spans="6:16" x14ac:dyDescent="0.2">
      <c r="F24" s="1" vm="159">
        <v>46317.387343032402</v>
      </c>
      <c r="G24" s="1" vm="160">
        <v>30.709323846716746</v>
      </c>
      <c r="I24" s="1" vm="161">
        <v>46317.387342893519</v>
      </c>
      <c r="J24" s="1" vm="162">
        <v>17.500611895466282</v>
      </c>
      <c r="L24" s="1" vm="163">
        <v>46317.387342997681</v>
      </c>
      <c r="M24" s="1" vm="164">
        <v>59.460879712856418</v>
      </c>
      <c r="O24" s="1" vm="165">
        <v>46317.387342835646</v>
      </c>
      <c r="P24" s="1" vm="166">
        <v>2395</v>
      </c>
    </row>
    <row r="25" spans="6:16" x14ac:dyDescent="0.2">
      <c r="F25" s="1" vm="167">
        <v>46317.429009699074</v>
      </c>
      <c r="G25" s="1" vm="168">
        <v>25.614111539213791</v>
      </c>
      <c r="I25" s="1" vm="169">
        <v>46317.42900956019</v>
      </c>
      <c r="J25" s="1" vm="170">
        <v>17.507181972722769</v>
      </c>
      <c r="L25" s="1" vm="171">
        <v>46317.429009664353</v>
      </c>
      <c r="M25" s="1" vm="172">
        <v>38.347729327325624</v>
      </c>
      <c r="O25" s="1" vm="173">
        <v>46317.429009502317</v>
      </c>
      <c r="P25" s="1" vm="174">
        <v>2408</v>
      </c>
    </row>
    <row r="26" spans="6:16" x14ac:dyDescent="0.2">
      <c r="F26" s="1" vm="175">
        <v>46317.470676365745</v>
      </c>
      <c r="G26" s="1" vm="176">
        <v>51.266242670223548</v>
      </c>
      <c r="I26" s="1" vm="177">
        <v>46317.470676226847</v>
      </c>
      <c r="J26" s="1" vm="178">
        <v>37.598253114697762</v>
      </c>
      <c r="L26" s="1" vm="179">
        <v>46317.470676331017</v>
      </c>
      <c r="M26" s="1" vm="180">
        <v>64.952159973928985</v>
      </c>
      <c r="O26" s="1" vm="181">
        <v>46317.470676168981</v>
      </c>
      <c r="P26" s="1" vm="182">
        <v>2400</v>
      </c>
    </row>
    <row r="27" spans="6:16" x14ac:dyDescent="0.2">
      <c r="F27" s="1" vm="183">
        <v>46317.512343032402</v>
      </c>
      <c r="G27" s="1" vm="184">
        <v>64.800638202080293</v>
      </c>
      <c r="I27" s="1" vm="185">
        <v>46317.512342893519</v>
      </c>
      <c r="J27" s="1" vm="186">
        <v>63.933142806227458</v>
      </c>
      <c r="L27" s="1" vm="187">
        <v>46317.512342997681</v>
      </c>
      <c r="M27" s="1" vm="188">
        <v>65.449421290767518</v>
      </c>
      <c r="O27" s="1" vm="189">
        <v>46317.512342835646</v>
      </c>
      <c r="P27" s="1" vm="158">
        <v>2397</v>
      </c>
    </row>
    <row r="28" spans="6:16" x14ac:dyDescent="0.2">
      <c r="F28" s="1" vm="190">
        <v>46317.554009699074</v>
      </c>
      <c r="G28" s="1" vm="191">
        <v>38.41295041005413</v>
      </c>
      <c r="I28" s="1" vm="192">
        <v>46317.55400956019</v>
      </c>
      <c r="J28" s="1" vm="193">
        <v>17.50018753665357</v>
      </c>
      <c r="L28" s="1" vm="194">
        <v>46317.554009664353</v>
      </c>
      <c r="M28" s="1" vm="195">
        <v>65.422541898695201</v>
      </c>
      <c r="O28" s="1" vm="196">
        <v>46317.554009502317</v>
      </c>
      <c r="P28" s="1" vm="197">
        <v>2401</v>
      </c>
    </row>
    <row r="29" spans="6:16" x14ac:dyDescent="0.2">
      <c r="F29" s="1" vm="198">
        <v>46317.595676365745</v>
      </c>
      <c r="G29" s="1" vm="199">
        <v>30.333392568237933</v>
      </c>
      <c r="I29" s="1" vm="200">
        <v>46317.595676226847</v>
      </c>
      <c r="J29" s="1" vm="201">
        <v>17.500802496881882</v>
      </c>
      <c r="L29" s="1" vm="202">
        <v>46317.595676331017</v>
      </c>
      <c r="M29" s="1" vm="203">
        <v>52.892019214950629</v>
      </c>
      <c r="O29" s="1" vm="204">
        <v>46317.595676168981</v>
      </c>
      <c r="P29" s="1" vm="174">
        <v>2408</v>
      </c>
    </row>
    <row r="30" spans="6:16" x14ac:dyDescent="0.2">
      <c r="F30" s="1" vm="205">
        <v>46317.637343032402</v>
      </c>
      <c r="G30" s="1">
        <v>63.188775266689035</v>
      </c>
      <c r="I30" s="1" vm="206">
        <v>46317.637342893519</v>
      </c>
      <c r="J30" s="1">
        <v>51.88509496962434</v>
      </c>
      <c r="L30" s="1" vm="207">
        <v>46317.637342997681</v>
      </c>
      <c r="M30" s="1">
        <v>65.449708703463315</v>
      </c>
      <c r="O30" s="1" vm="208">
        <v>46317.637342835646</v>
      </c>
      <c r="P30" s="1">
        <v>2404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21ADF-09C4-A940-B84F-8A28F6DFE27B}">
  <dimension ref="A2:Z294"/>
  <sheetViews>
    <sheetView showGridLines="0" workbookViewId="0"/>
  </sheetViews>
  <sheetFormatPr baseColWidth="10" defaultRowHeight="16" x14ac:dyDescent="0.2"/>
  <cols>
    <col min="1" max="1" width="2" style="1" customWidth="1"/>
    <col min="2" max="2" width="50" style="1" customWidth="1"/>
    <col min="3" max="4" width="2" style="1" customWidth="1"/>
    <col min="5" max="5" width="2.6640625" style="1" customWidth="1"/>
    <col min="6" max="6" width="23.33203125" style="1" customWidth="1"/>
    <col min="7" max="26" width="10.83203125" style="1"/>
  </cols>
  <sheetData>
    <row r="2" spans="2:9" ht="27" x14ac:dyDescent="0.2">
      <c r="B2" s="2" t="s">
        <v>181</v>
      </c>
    </row>
    <row r="3" spans="2:9" ht="34" x14ac:dyDescent="0.2">
      <c r="B3" s="3" t="s">
        <v>182</v>
      </c>
    </row>
    <row r="4" spans="2:9" x14ac:dyDescent="0.2">
      <c r="F4" s="10" t="s">
        <v>187</v>
      </c>
    </row>
    <row r="5" spans="2:9" ht="51" x14ac:dyDescent="0.2">
      <c r="B5" s="4" t="s">
        <v>183</v>
      </c>
      <c r="F5" s="11" t="str">
        <f ca="1">_xlfn.FORMULATEXT(F6)</f>
        <v>=TB.SAMPLE(Guide_Dataset, Guide_StateTags, Guide_Start)</v>
      </c>
    </row>
    <row r="6" spans="2:9" ht="34" x14ac:dyDescent="0.2">
      <c r="B6" s="4" t="s">
        <v>184</v>
      </c>
      <c r="F6" s="1" t="str" cm="1">
        <f t="array" ref="F6:I294">_xldudf_TB_SAMPLE(Guide_Dataset, Guide_StateTags, Guide_Start)</f>
        <v>Timestamp</v>
      </c>
      <c r="G6" s="1" t="str">
        <v>FL001.State</v>
      </c>
      <c r="H6" s="1" t="str">
        <v>FL002.State</v>
      </c>
      <c r="I6" s="1" t="str">
        <v>FL003.State</v>
      </c>
    </row>
    <row r="7" spans="2:9" ht="51" x14ac:dyDescent="0.2">
      <c r="B7" s="4" t="s">
        <v>185</v>
      </c>
      <c r="F7" s="1" vm="209">
        <v>46316.680555555555</v>
      </c>
      <c r="G7" s="1">
        <v>10</v>
      </c>
      <c r="H7" s="1">
        <v>30</v>
      </c>
      <c r="I7" s="1">
        <v>30</v>
      </c>
    </row>
    <row r="8" spans="2:9" ht="51" x14ac:dyDescent="0.2">
      <c r="B8" s="4" t="s">
        <v>186</v>
      </c>
      <c r="F8" s="1" vm="210">
        <v>46316.684027777781</v>
      </c>
      <c r="G8" s="1">
        <v>10</v>
      </c>
      <c r="H8" s="1">
        <v>30</v>
      </c>
      <c r="I8" s="1">
        <v>30</v>
      </c>
    </row>
    <row r="9" spans="2:9" x14ac:dyDescent="0.2">
      <c r="F9" s="1" vm="211">
        <v>46316.6875</v>
      </c>
      <c r="G9" s="1">
        <v>20</v>
      </c>
      <c r="H9" s="1">
        <v>30</v>
      </c>
      <c r="I9" s="1">
        <v>30</v>
      </c>
    </row>
    <row r="10" spans="2:9" x14ac:dyDescent="0.2">
      <c r="F10" s="1" vm="212">
        <v>46316.690972222219</v>
      </c>
      <c r="G10" s="1">
        <v>20</v>
      </c>
      <c r="H10" s="1">
        <v>30</v>
      </c>
      <c r="I10" s="1">
        <v>30</v>
      </c>
    </row>
    <row r="11" spans="2:9" ht="19" x14ac:dyDescent="0.2">
      <c r="B11" s="5" t="s">
        <v>166</v>
      </c>
      <c r="F11" s="1" vm="213">
        <v>46316.694444444445</v>
      </c>
      <c r="G11" s="1">
        <v>20</v>
      </c>
      <c r="H11" s="1">
        <v>30</v>
      </c>
      <c r="I11" s="1">
        <v>30</v>
      </c>
    </row>
    <row r="12" spans="2:9" ht="51" x14ac:dyDescent="0.2">
      <c r="B12" s="4" t="s">
        <v>188</v>
      </c>
      <c r="F12" s="1" vm="214">
        <v>46316.697916666672</v>
      </c>
      <c r="G12" s="1">
        <v>20</v>
      </c>
      <c r="H12" s="1">
        <v>0</v>
      </c>
      <c r="I12" s="1">
        <v>30</v>
      </c>
    </row>
    <row r="13" spans="2:9" ht="34" x14ac:dyDescent="0.2">
      <c r="B13" s="4" t="s">
        <v>189</v>
      </c>
      <c r="F13" s="1" vm="215">
        <v>46316.701388888891</v>
      </c>
      <c r="G13" s="1">
        <v>20</v>
      </c>
      <c r="H13" s="1">
        <v>0</v>
      </c>
      <c r="I13" s="1">
        <v>30</v>
      </c>
    </row>
    <row r="14" spans="2:9" x14ac:dyDescent="0.2">
      <c r="F14" s="1" vm="216">
        <v>46316.704861111109</v>
      </c>
      <c r="G14" s="1">
        <v>20</v>
      </c>
      <c r="H14" s="1">
        <v>0</v>
      </c>
      <c r="I14" s="1">
        <v>30</v>
      </c>
    </row>
    <row r="15" spans="2:9" x14ac:dyDescent="0.2">
      <c r="F15" s="1" vm="217">
        <v>46316.708333333328</v>
      </c>
      <c r="G15" s="1">
        <v>20</v>
      </c>
      <c r="H15" s="1">
        <v>0</v>
      </c>
      <c r="I15" s="1">
        <v>30</v>
      </c>
    </row>
    <row r="16" spans="2:9" x14ac:dyDescent="0.2">
      <c r="F16" s="1" vm="218">
        <v>46316.711805555555</v>
      </c>
      <c r="G16" s="1">
        <v>20</v>
      </c>
      <c r="H16" s="1">
        <v>0</v>
      </c>
      <c r="I16" s="1">
        <v>30</v>
      </c>
    </row>
    <row r="17" spans="6:9" x14ac:dyDescent="0.2">
      <c r="F17" s="1" vm="219">
        <v>46316.715277777781</v>
      </c>
      <c r="G17" s="1">
        <v>20</v>
      </c>
      <c r="H17" s="1">
        <v>0</v>
      </c>
      <c r="I17" s="1">
        <v>30</v>
      </c>
    </row>
    <row r="18" spans="6:9" x14ac:dyDescent="0.2">
      <c r="F18" s="1" vm="220">
        <v>46316.71875</v>
      </c>
      <c r="G18" s="1">
        <v>20</v>
      </c>
      <c r="H18" s="1">
        <v>0</v>
      </c>
      <c r="I18" s="1">
        <v>30</v>
      </c>
    </row>
    <row r="19" spans="6:9" x14ac:dyDescent="0.2">
      <c r="F19" s="1" vm="221">
        <v>46316.722222222219</v>
      </c>
      <c r="G19" s="1">
        <v>20</v>
      </c>
      <c r="H19" s="1">
        <v>0</v>
      </c>
      <c r="I19" s="1">
        <v>30</v>
      </c>
    </row>
    <row r="20" spans="6:9" x14ac:dyDescent="0.2">
      <c r="F20" s="1" vm="222">
        <v>46316.725694444445</v>
      </c>
      <c r="G20" s="1">
        <v>20</v>
      </c>
      <c r="H20" s="1">
        <v>10</v>
      </c>
      <c r="I20" s="1">
        <v>30</v>
      </c>
    </row>
    <row r="21" spans="6:9" x14ac:dyDescent="0.2">
      <c r="F21" s="1" vm="223">
        <v>46316.729166666672</v>
      </c>
      <c r="G21" s="1">
        <v>20</v>
      </c>
      <c r="H21" s="1">
        <v>10</v>
      </c>
      <c r="I21" s="1">
        <v>30</v>
      </c>
    </row>
    <row r="22" spans="6:9" x14ac:dyDescent="0.2">
      <c r="F22" s="1" vm="224">
        <v>46316.732638888891</v>
      </c>
      <c r="G22" s="1">
        <v>20</v>
      </c>
      <c r="H22" s="1">
        <v>10</v>
      </c>
      <c r="I22" s="1">
        <v>0</v>
      </c>
    </row>
    <row r="23" spans="6:9" x14ac:dyDescent="0.2">
      <c r="F23" s="1" vm="225">
        <v>46316.736111111109</v>
      </c>
      <c r="G23" s="1">
        <v>20</v>
      </c>
      <c r="H23" s="1">
        <v>10</v>
      </c>
      <c r="I23" s="1">
        <v>0</v>
      </c>
    </row>
    <row r="24" spans="6:9" x14ac:dyDescent="0.2">
      <c r="F24" s="1" vm="226">
        <v>46316.739583333328</v>
      </c>
      <c r="G24" s="1">
        <v>20</v>
      </c>
      <c r="H24" s="1">
        <v>10</v>
      </c>
      <c r="I24" s="1">
        <v>0</v>
      </c>
    </row>
    <row r="25" spans="6:9" x14ac:dyDescent="0.2">
      <c r="F25" s="1" vm="227">
        <v>46316.743055555555</v>
      </c>
      <c r="G25" s="1">
        <v>20</v>
      </c>
      <c r="H25" s="1">
        <v>10</v>
      </c>
      <c r="I25" s="1">
        <v>0</v>
      </c>
    </row>
    <row r="26" spans="6:9" x14ac:dyDescent="0.2">
      <c r="F26" s="1" vm="228">
        <v>46316.746527777781</v>
      </c>
      <c r="G26" s="1">
        <v>20</v>
      </c>
      <c r="H26" s="1">
        <v>10</v>
      </c>
      <c r="I26" s="1">
        <v>0</v>
      </c>
    </row>
    <row r="27" spans="6:9" x14ac:dyDescent="0.2">
      <c r="F27" s="1" vm="229">
        <v>46316.75</v>
      </c>
      <c r="G27" s="1">
        <v>30</v>
      </c>
      <c r="H27" s="1">
        <v>10</v>
      </c>
      <c r="I27" s="1">
        <v>0</v>
      </c>
    </row>
    <row r="28" spans="6:9" x14ac:dyDescent="0.2">
      <c r="F28" s="1" vm="230">
        <v>46316.753472222219</v>
      </c>
      <c r="G28" s="1">
        <v>30</v>
      </c>
      <c r="H28" s="1">
        <v>10</v>
      </c>
      <c r="I28" s="1">
        <v>0</v>
      </c>
    </row>
    <row r="29" spans="6:9" x14ac:dyDescent="0.2">
      <c r="F29" s="1" vm="231">
        <v>46316.756944444445</v>
      </c>
      <c r="G29" s="1">
        <v>30</v>
      </c>
      <c r="H29" s="1">
        <v>10</v>
      </c>
      <c r="I29" s="1">
        <v>0</v>
      </c>
    </row>
    <row r="30" spans="6:9" x14ac:dyDescent="0.2">
      <c r="F30" s="1" vm="232">
        <v>46316.760416666672</v>
      </c>
      <c r="G30" s="1">
        <v>30</v>
      </c>
      <c r="H30" s="1">
        <v>10</v>
      </c>
      <c r="I30" s="1">
        <v>10</v>
      </c>
    </row>
    <row r="31" spans="6:9" x14ac:dyDescent="0.2">
      <c r="F31" s="1" vm="233">
        <v>46316.763888888891</v>
      </c>
      <c r="G31" s="1">
        <v>30</v>
      </c>
      <c r="H31" s="1">
        <v>20</v>
      </c>
      <c r="I31" s="1">
        <v>10</v>
      </c>
    </row>
    <row r="32" spans="6:9" x14ac:dyDescent="0.2">
      <c r="F32" s="1" vm="234">
        <v>46316.767361111109</v>
      </c>
      <c r="G32" s="1">
        <v>30</v>
      </c>
      <c r="H32" s="1">
        <v>20</v>
      </c>
      <c r="I32" s="1">
        <v>10</v>
      </c>
    </row>
    <row r="33" spans="6:9" x14ac:dyDescent="0.2">
      <c r="F33" s="1" vm="235">
        <v>46316.770833333328</v>
      </c>
      <c r="G33" s="1">
        <v>30</v>
      </c>
      <c r="H33" s="1">
        <v>20</v>
      </c>
      <c r="I33" s="1">
        <v>10</v>
      </c>
    </row>
    <row r="34" spans="6:9" x14ac:dyDescent="0.2">
      <c r="F34" s="1" vm="236">
        <v>46316.774305555555</v>
      </c>
      <c r="G34" s="1">
        <v>30</v>
      </c>
      <c r="H34" s="1">
        <v>20</v>
      </c>
      <c r="I34" s="1">
        <v>10</v>
      </c>
    </row>
    <row r="35" spans="6:9" x14ac:dyDescent="0.2">
      <c r="F35" s="1" vm="237">
        <v>46316.777777777781</v>
      </c>
      <c r="G35" s="1">
        <v>30</v>
      </c>
      <c r="H35" s="1">
        <v>20</v>
      </c>
      <c r="I35" s="1">
        <v>10</v>
      </c>
    </row>
    <row r="36" spans="6:9" x14ac:dyDescent="0.2">
      <c r="F36" s="1" vm="238">
        <v>46316.78125</v>
      </c>
      <c r="G36" s="1">
        <v>0</v>
      </c>
      <c r="H36" s="1">
        <v>20</v>
      </c>
      <c r="I36" s="1">
        <v>10</v>
      </c>
    </row>
    <row r="37" spans="6:9" x14ac:dyDescent="0.2">
      <c r="F37" s="1" vm="239">
        <v>46316.784722222219</v>
      </c>
      <c r="G37" s="1">
        <v>0</v>
      </c>
      <c r="H37" s="1">
        <v>20</v>
      </c>
      <c r="I37" s="1">
        <v>10</v>
      </c>
    </row>
    <row r="38" spans="6:9" x14ac:dyDescent="0.2">
      <c r="F38" s="1" vm="240">
        <v>46316.788194444445</v>
      </c>
      <c r="G38" s="1">
        <v>0</v>
      </c>
      <c r="H38" s="1">
        <v>20</v>
      </c>
      <c r="I38" s="1">
        <v>10</v>
      </c>
    </row>
    <row r="39" spans="6:9" x14ac:dyDescent="0.2">
      <c r="F39" s="1" vm="241">
        <v>46316.791666666672</v>
      </c>
      <c r="G39" s="1">
        <v>0</v>
      </c>
      <c r="H39" s="1">
        <v>20</v>
      </c>
      <c r="I39" s="1">
        <v>10</v>
      </c>
    </row>
    <row r="40" spans="6:9" x14ac:dyDescent="0.2">
      <c r="F40" s="1" vm="242">
        <v>46316.795138888891</v>
      </c>
      <c r="G40" s="1">
        <v>0</v>
      </c>
      <c r="H40" s="1">
        <v>20</v>
      </c>
      <c r="I40" s="1">
        <v>10</v>
      </c>
    </row>
    <row r="41" spans="6:9" x14ac:dyDescent="0.2">
      <c r="F41" s="1" vm="243">
        <v>46316.798611111109</v>
      </c>
      <c r="G41" s="1">
        <v>0</v>
      </c>
      <c r="H41" s="1">
        <v>20</v>
      </c>
      <c r="I41" s="1">
        <v>10</v>
      </c>
    </row>
    <row r="42" spans="6:9" x14ac:dyDescent="0.2">
      <c r="F42" s="1" vm="244">
        <v>46316.802083333328</v>
      </c>
      <c r="G42" s="1">
        <v>10</v>
      </c>
      <c r="H42" s="1">
        <v>20</v>
      </c>
      <c r="I42" s="1">
        <v>10</v>
      </c>
    </row>
    <row r="43" spans="6:9" x14ac:dyDescent="0.2">
      <c r="F43" s="1" vm="245">
        <v>46316.805555555555</v>
      </c>
      <c r="G43" s="1">
        <v>10</v>
      </c>
      <c r="H43" s="1">
        <v>20</v>
      </c>
      <c r="I43" s="1">
        <v>10</v>
      </c>
    </row>
    <row r="44" spans="6:9" x14ac:dyDescent="0.2">
      <c r="F44" s="1" vm="246">
        <v>46316.809027777781</v>
      </c>
      <c r="G44" s="1">
        <v>10</v>
      </c>
      <c r="H44" s="1">
        <v>20</v>
      </c>
      <c r="I44" s="1">
        <v>10</v>
      </c>
    </row>
    <row r="45" spans="6:9" x14ac:dyDescent="0.2">
      <c r="F45" s="1" vm="247">
        <v>46316.8125</v>
      </c>
      <c r="G45" s="1">
        <v>10</v>
      </c>
      <c r="H45" s="1">
        <v>20</v>
      </c>
      <c r="I45" s="1">
        <v>10</v>
      </c>
    </row>
    <row r="46" spans="6:9" x14ac:dyDescent="0.2">
      <c r="F46" s="1" vm="248">
        <v>46316.815972222219</v>
      </c>
      <c r="G46" s="1">
        <v>10</v>
      </c>
      <c r="H46" s="1">
        <v>20</v>
      </c>
      <c r="I46" s="1">
        <v>10</v>
      </c>
    </row>
    <row r="47" spans="6:9" x14ac:dyDescent="0.2">
      <c r="F47" s="1" vm="249">
        <v>46316.819444444445</v>
      </c>
      <c r="G47" s="1">
        <v>10</v>
      </c>
      <c r="H47" s="1">
        <v>20</v>
      </c>
      <c r="I47" s="1">
        <v>10</v>
      </c>
    </row>
    <row r="48" spans="6:9" x14ac:dyDescent="0.2">
      <c r="F48" s="1" vm="250">
        <v>46316.822916666672</v>
      </c>
      <c r="G48" s="1">
        <v>10</v>
      </c>
      <c r="H48" s="1">
        <v>20</v>
      </c>
      <c r="I48" s="1">
        <v>10</v>
      </c>
    </row>
    <row r="49" spans="6:9" x14ac:dyDescent="0.2">
      <c r="F49" s="1" vm="251">
        <v>46316.826388888891</v>
      </c>
      <c r="G49" s="1">
        <v>10</v>
      </c>
      <c r="H49" s="1">
        <v>20</v>
      </c>
      <c r="I49" s="1">
        <v>10</v>
      </c>
    </row>
    <row r="50" spans="6:9" x14ac:dyDescent="0.2">
      <c r="F50" s="1" vm="252">
        <v>46316.829861111109</v>
      </c>
      <c r="G50" s="1">
        <v>20</v>
      </c>
      <c r="H50" s="1">
        <v>20</v>
      </c>
      <c r="I50" s="1">
        <v>10</v>
      </c>
    </row>
    <row r="51" spans="6:9" x14ac:dyDescent="0.2">
      <c r="F51" s="1" vm="253">
        <v>46316.833333333328</v>
      </c>
      <c r="G51" s="1">
        <v>20</v>
      </c>
      <c r="H51" s="1">
        <v>20</v>
      </c>
      <c r="I51" s="1">
        <v>20</v>
      </c>
    </row>
    <row r="52" spans="6:9" x14ac:dyDescent="0.2">
      <c r="F52" s="1" vm="254">
        <v>46316.836805555555</v>
      </c>
      <c r="G52" s="1">
        <v>20</v>
      </c>
      <c r="H52" s="1">
        <v>20</v>
      </c>
      <c r="I52" s="1">
        <v>20</v>
      </c>
    </row>
    <row r="53" spans="6:9" x14ac:dyDescent="0.2">
      <c r="F53" s="1" vm="255">
        <v>46316.840277777781</v>
      </c>
      <c r="G53" s="1">
        <v>20</v>
      </c>
      <c r="H53" s="1">
        <v>20</v>
      </c>
      <c r="I53" s="1">
        <v>20</v>
      </c>
    </row>
    <row r="54" spans="6:9" x14ac:dyDescent="0.2">
      <c r="F54" s="1" vm="256">
        <v>46316.84375</v>
      </c>
      <c r="G54" s="1">
        <v>20</v>
      </c>
      <c r="H54" s="1">
        <v>30</v>
      </c>
      <c r="I54" s="1">
        <v>20</v>
      </c>
    </row>
    <row r="55" spans="6:9" x14ac:dyDescent="0.2">
      <c r="F55" s="1" vm="257">
        <v>46316.847222222219</v>
      </c>
      <c r="G55" s="1">
        <v>20</v>
      </c>
      <c r="H55" s="1">
        <v>30</v>
      </c>
      <c r="I55" s="1">
        <v>20</v>
      </c>
    </row>
    <row r="56" spans="6:9" x14ac:dyDescent="0.2">
      <c r="F56" s="1" vm="258">
        <v>46316.850694444445</v>
      </c>
      <c r="G56" s="1">
        <v>20</v>
      </c>
      <c r="H56" s="1">
        <v>30</v>
      </c>
      <c r="I56" s="1">
        <v>20</v>
      </c>
    </row>
    <row r="57" spans="6:9" x14ac:dyDescent="0.2">
      <c r="F57" s="1" vm="259">
        <v>46316.854166666672</v>
      </c>
      <c r="G57" s="1">
        <v>30</v>
      </c>
      <c r="H57" s="1">
        <v>30</v>
      </c>
      <c r="I57" s="1">
        <v>20</v>
      </c>
    </row>
    <row r="58" spans="6:9" x14ac:dyDescent="0.2">
      <c r="F58" s="1" vm="260">
        <v>46316.857638888891</v>
      </c>
      <c r="G58" s="1">
        <v>30</v>
      </c>
      <c r="H58" s="1">
        <v>30</v>
      </c>
      <c r="I58" s="1">
        <v>20</v>
      </c>
    </row>
    <row r="59" spans="6:9" x14ac:dyDescent="0.2">
      <c r="F59" s="1" vm="261">
        <v>46316.861111111109</v>
      </c>
      <c r="G59" s="1">
        <v>30</v>
      </c>
      <c r="H59" s="1">
        <v>30</v>
      </c>
      <c r="I59" s="1">
        <v>20</v>
      </c>
    </row>
    <row r="60" spans="6:9" x14ac:dyDescent="0.2">
      <c r="F60" s="1" vm="262">
        <v>46316.864583333328</v>
      </c>
      <c r="G60" s="1">
        <v>30</v>
      </c>
      <c r="H60" s="1">
        <v>30</v>
      </c>
      <c r="I60" s="1">
        <v>20</v>
      </c>
    </row>
    <row r="61" spans="6:9" x14ac:dyDescent="0.2">
      <c r="F61" s="1" vm="263">
        <v>46316.868055555555</v>
      </c>
      <c r="G61" s="1">
        <v>30</v>
      </c>
      <c r="H61" s="1">
        <v>30</v>
      </c>
      <c r="I61" s="1">
        <v>20</v>
      </c>
    </row>
    <row r="62" spans="6:9" x14ac:dyDescent="0.2">
      <c r="F62" s="1" vm="264">
        <v>46316.871527777781</v>
      </c>
      <c r="G62" s="1">
        <v>30</v>
      </c>
      <c r="H62" s="1">
        <v>30</v>
      </c>
      <c r="I62" s="1">
        <v>20</v>
      </c>
    </row>
    <row r="63" spans="6:9" x14ac:dyDescent="0.2">
      <c r="F63" s="1" vm="265">
        <v>46316.875</v>
      </c>
      <c r="G63" s="1">
        <v>30</v>
      </c>
      <c r="H63" s="1">
        <v>30</v>
      </c>
      <c r="I63" s="1">
        <v>20</v>
      </c>
    </row>
    <row r="64" spans="6:9" x14ac:dyDescent="0.2">
      <c r="F64" s="1" vm="266">
        <v>46316.878472222219</v>
      </c>
      <c r="G64" s="1">
        <v>30</v>
      </c>
      <c r="H64" s="1">
        <v>30</v>
      </c>
      <c r="I64" s="1">
        <v>20</v>
      </c>
    </row>
    <row r="65" spans="6:9" x14ac:dyDescent="0.2">
      <c r="F65" s="1" vm="267">
        <v>46316.881944444445</v>
      </c>
      <c r="G65" s="1">
        <v>30</v>
      </c>
      <c r="H65" s="1">
        <v>0</v>
      </c>
      <c r="I65" s="1">
        <v>20</v>
      </c>
    </row>
    <row r="66" spans="6:9" x14ac:dyDescent="0.2">
      <c r="F66" s="1" vm="268">
        <v>46316.885416666672</v>
      </c>
      <c r="G66" s="1">
        <v>30</v>
      </c>
      <c r="H66" s="1">
        <v>0</v>
      </c>
      <c r="I66" s="1">
        <v>20</v>
      </c>
    </row>
    <row r="67" spans="6:9" x14ac:dyDescent="0.2">
      <c r="F67" s="1" vm="269">
        <v>46316.888888888891</v>
      </c>
      <c r="G67" s="1">
        <v>30</v>
      </c>
      <c r="H67" s="1">
        <v>0</v>
      </c>
      <c r="I67" s="1">
        <v>20</v>
      </c>
    </row>
    <row r="68" spans="6:9" x14ac:dyDescent="0.2">
      <c r="F68" s="1" vm="270">
        <v>46316.892361111109</v>
      </c>
      <c r="G68" s="1">
        <v>30</v>
      </c>
      <c r="H68" s="1">
        <v>0</v>
      </c>
      <c r="I68" s="1">
        <v>30</v>
      </c>
    </row>
    <row r="69" spans="6:9" x14ac:dyDescent="0.2">
      <c r="F69" s="1" vm="271">
        <v>46316.895833333328</v>
      </c>
      <c r="G69" s="1">
        <v>30</v>
      </c>
      <c r="H69" s="1">
        <v>0</v>
      </c>
      <c r="I69" s="1">
        <v>30</v>
      </c>
    </row>
    <row r="70" spans="6:9" x14ac:dyDescent="0.2">
      <c r="F70" s="1" vm="272">
        <v>46316.899305555555</v>
      </c>
      <c r="G70" s="1">
        <v>0</v>
      </c>
      <c r="H70" s="1">
        <v>0</v>
      </c>
      <c r="I70" s="1">
        <v>30</v>
      </c>
    </row>
    <row r="71" spans="6:9" x14ac:dyDescent="0.2">
      <c r="F71" s="1" vm="273">
        <v>46316.902777777781</v>
      </c>
      <c r="G71" s="1">
        <v>0</v>
      </c>
      <c r="H71" s="1">
        <v>0</v>
      </c>
      <c r="I71" s="1">
        <v>30</v>
      </c>
    </row>
    <row r="72" spans="6:9" x14ac:dyDescent="0.2">
      <c r="F72" s="1" vm="274">
        <v>46316.90625</v>
      </c>
      <c r="G72" s="1">
        <v>0</v>
      </c>
      <c r="H72" s="1">
        <v>10</v>
      </c>
      <c r="I72" s="1">
        <v>30</v>
      </c>
    </row>
    <row r="73" spans="6:9" x14ac:dyDescent="0.2">
      <c r="F73" s="1" vm="275">
        <v>46316.909722222219</v>
      </c>
      <c r="G73" s="1">
        <v>10</v>
      </c>
      <c r="H73" s="1">
        <v>10</v>
      </c>
      <c r="I73" s="1">
        <v>30</v>
      </c>
    </row>
    <row r="74" spans="6:9" x14ac:dyDescent="0.2">
      <c r="F74" s="1" vm="276">
        <v>46316.913194444445</v>
      </c>
      <c r="G74" s="1">
        <v>10</v>
      </c>
      <c r="H74" s="1">
        <v>10</v>
      </c>
      <c r="I74" s="1">
        <v>30</v>
      </c>
    </row>
    <row r="75" spans="6:9" x14ac:dyDescent="0.2">
      <c r="F75" s="1" vm="277">
        <v>46316.916666666672</v>
      </c>
      <c r="G75" s="1">
        <v>10</v>
      </c>
      <c r="H75" s="1">
        <v>10</v>
      </c>
      <c r="I75" s="1">
        <v>30</v>
      </c>
    </row>
    <row r="76" spans="6:9" x14ac:dyDescent="0.2">
      <c r="F76" s="1" vm="278">
        <v>46316.920138888891</v>
      </c>
      <c r="G76" s="1">
        <v>10</v>
      </c>
      <c r="H76" s="1">
        <v>10</v>
      </c>
      <c r="I76" s="1">
        <v>30</v>
      </c>
    </row>
    <row r="77" spans="6:9" x14ac:dyDescent="0.2">
      <c r="F77" s="1" vm="279">
        <v>46316.923611111109</v>
      </c>
      <c r="G77" s="1">
        <v>10</v>
      </c>
      <c r="H77" s="1">
        <v>10</v>
      </c>
      <c r="I77" s="1">
        <v>30</v>
      </c>
    </row>
    <row r="78" spans="6:9" x14ac:dyDescent="0.2">
      <c r="F78" s="1" vm="280">
        <v>46316.927083333328</v>
      </c>
      <c r="G78" s="1">
        <v>10</v>
      </c>
      <c r="H78" s="1">
        <v>10</v>
      </c>
      <c r="I78" s="1">
        <v>30</v>
      </c>
    </row>
    <row r="79" spans="6:9" x14ac:dyDescent="0.2">
      <c r="F79" s="1" vm="281">
        <v>46316.930555555555</v>
      </c>
      <c r="G79" s="1">
        <v>10</v>
      </c>
      <c r="H79" s="1">
        <v>10</v>
      </c>
      <c r="I79" s="1">
        <v>30</v>
      </c>
    </row>
    <row r="80" spans="6:9" x14ac:dyDescent="0.2">
      <c r="F80" s="1" vm="282">
        <v>46316.934027777781</v>
      </c>
      <c r="G80" s="1">
        <v>10</v>
      </c>
      <c r="H80" s="1">
        <v>10</v>
      </c>
      <c r="I80" s="1">
        <v>30</v>
      </c>
    </row>
    <row r="81" spans="6:9" x14ac:dyDescent="0.2">
      <c r="F81" s="1" vm="283">
        <v>46316.9375</v>
      </c>
      <c r="G81" s="1">
        <v>10</v>
      </c>
      <c r="H81" s="1">
        <v>10</v>
      </c>
      <c r="I81" s="1">
        <v>30</v>
      </c>
    </row>
    <row r="82" spans="6:9" x14ac:dyDescent="0.2">
      <c r="F82" s="1" vm="284">
        <v>46316.940972222219</v>
      </c>
      <c r="G82" s="1">
        <v>20</v>
      </c>
      <c r="H82" s="1">
        <v>10</v>
      </c>
      <c r="I82" s="1">
        <v>30</v>
      </c>
    </row>
    <row r="83" spans="6:9" x14ac:dyDescent="0.2">
      <c r="F83" s="1" vm="285">
        <v>46316.944444444445</v>
      </c>
      <c r="G83" s="1">
        <v>20</v>
      </c>
      <c r="H83" s="1">
        <v>10</v>
      </c>
      <c r="I83" s="1">
        <v>0</v>
      </c>
    </row>
    <row r="84" spans="6:9" x14ac:dyDescent="0.2">
      <c r="F84" s="1" vm="286">
        <v>46316.947916666672</v>
      </c>
      <c r="G84" s="1">
        <v>20</v>
      </c>
      <c r="H84" s="1">
        <v>10</v>
      </c>
      <c r="I84" s="1">
        <v>0</v>
      </c>
    </row>
    <row r="85" spans="6:9" x14ac:dyDescent="0.2">
      <c r="F85" s="1" vm="287">
        <v>46316.951388888891</v>
      </c>
      <c r="G85" s="1">
        <v>20</v>
      </c>
      <c r="H85" s="1">
        <v>10</v>
      </c>
      <c r="I85" s="1">
        <v>0</v>
      </c>
    </row>
    <row r="86" spans="6:9" x14ac:dyDescent="0.2">
      <c r="F86" s="1" vm="288">
        <v>46316.954861111109</v>
      </c>
      <c r="G86" s="1">
        <v>20</v>
      </c>
      <c r="H86" s="1">
        <v>10</v>
      </c>
      <c r="I86" s="1">
        <v>0</v>
      </c>
    </row>
    <row r="87" spans="6:9" x14ac:dyDescent="0.2">
      <c r="F87" s="1" vm="289">
        <v>46316.958333333328</v>
      </c>
      <c r="G87" s="1">
        <v>20</v>
      </c>
      <c r="H87" s="1">
        <v>10</v>
      </c>
      <c r="I87" s="1">
        <v>0</v>
      </c>
    </row>
    <row r="88" spans="6:9" x14ac:dyDescent="0.2">
      <c r="F88" s="1" vm="290">
        <v>46316.961805555555</v>
      </c>
      <c r="G88" s="1">
        <v>20</v>
      </c>
      <c r="H88" s="1">
        <v>10</v>
      </c>
      <c r="I88" s="1">
        <v>0</v>
      </c>
    </row>
    <row r="89" spans="6:9" x14ac:dyDescent="0.2">
      <c r="F89" s="1" vm="291">
        <v>46316.965277777781</v>
      </c>
      <c r="G89" s="1">
        <v>20</v>
      </c>
      <c r="H89" s="1">
        <v>10</v>
      </c>
      <c r="I89" s="1">
        <v>0</v>
      </c>
    </row>
    <row r="90" spans="6:9" x14ac:dyDescent="0.2">
      <c r="F90" s="1" vm="292">
        <v>46316.96875</v>
      </c>
      <c r="G90" s="1">
        <v>20</v>
      </c>
      <c r="H90" s="1">
        <v>20</v>
      </c>
      <c r="I90" s="1">
        <v>0</v>
      </c>
    </row>
    <row r="91" spans="6:9" x14ac:dyDescent="0.2">
      <c r="F91" s="1" vm="293">
        <v>46316.972222222219</v>
      </c>
      <c r="G91" s="1">
        <v>20</v>
      </c>
      <c r="H91" s="1">
        <v>20</v>
      </c>
      <c r="I91" s="1">
        <v>10</v>
      </c>
    </row>
    <row r="92" spans="6:9" x14ac:dyDescent="0.2">
      <c r="F92" s="1" vm="294">
        <v>46316.975694444445</v>
      </c>
      <c r="G92" s="1">
        <v>20</v>
      </c>
      <c r="H92" s="1">
        <v>20</v>
      </c>
      <c r="I92" s="1">
        <v>10</v>
      </c>
    </row>
    <row r="93" spans="6:9" x14ac:dyDescent="0.2">
      <c r="F93" s="1" vm="295">
        <v>46316.979166666672</v>
      </c>
      <c r="G93" s="1">
        <v>20</v>
      </c>
      <c r="H93" s="1">
        <v>20</v>
      </c>
      <c r="I93" s="1">
        <v>10</v>
      </c>
    </row>
    <row r="94" spans="6:9" x14ac:dyDescent="0.2">
      <c r="F94" s="1" vm="296">
        <v>46316.982638888891</v>
      </c>
      <c r="G94" s="1">
        <v>20</v>
      </c>
      <c r="H94" s="1">
        <v>20</v>
      </c>
      <c r="I94" s="1">
        <v>10</v>
      </c>
    </row>
    <row r="95" spans="6:9" x14ac:dyDescent="0.2">
      <c r="F95" s="1" vm="297">
        <v>46316.986111111109</v>
      </c>
      <c r="G95" s="1">
        <v>20</v>
      </c>
      <c r="H95" s="1">
        <v>20</v>
      </c>
      <c r="I95" s="1">
        <v>10</v>
      </c>
    </row>
    <row r="96" spans="6:9" x14ac:dyDescent="0.2">
      <c r="F96" s="1" vm="298">
        <v>46316.989583333328</v>
      </c>
      <c r="G96" s="1">
        <v>20</v>
      </c>
      <c r="H96" s="1">
        <v>20</v>
      </c>
      <c r="I96" s="1">
        <v>10</v>
      </c>
    </row>
    <row r="97" spans="6:9" x14ac:dyDescent="0.2">
      <c r="F97" s="1" vm="299">
        <v>46316.993055555555</v>
      </c>
      <c r="G97" s="1">
        <v>20</v>
      </c>
      <c r="H97" s="1">
        <v>20</v>
      </c>
      <c r="I97" s="1">
        <v>10</v>
      </c>
    </row>
    <row r="98" spans="6:9" x14ac:dyDescent="0.2">
      <c r="F98" s="1" vm="300">
        <v>46316.996527777781</v>
      </c>
      <c r="G98" s="1">
        <v>20</v>
      </c>
      <c r="H98" s="1">
        <v>20</v>
      </c>
      <c r="I98" s="1">
        <v>10</v>
      </c>
    </row>
    <row r="99" spans="6:9" x14ac:dyDescent="0.2">
      <c r="F99" s="1" vm="301">
        <v>46317</v>
      </c>
      <c r="G99" s="1">
        <v>20</v>
      </c>
      <c r="H99" s="1">
        <v>20</v>
      </c>
      <c r="I99" s="1">
        <v>10</v>
      </c>
    </row>
    <row r="100" spans="6:9" x14ac:dyDescent="0.2">
      <c r="F100" s="1" vm="302">
        <v>46317.003472222219</v>
      </c>
      <c r="G100" s="1">
        <v>30</v>
      </c>
      <c r="H100" s="1">
        <v>30</v>
      </c>
      <c r="I100" s="1">
        <v>10</v>
      </c>
    </row>
    <row r="101" spans="6:9" x14ac:dyDescent="0.2">
      <c r="F101" s="1" vm="303">
        <v>46317.006944444445</v>
      </c>
      <c r="G101" s="1">
        <v>30</v>
      </c>
      <c r="H101" s="1">
        <v>30</v>
      </c>
      <c r="I101" s="1">
        <v>10</v>
      </c>
    </row>
    <row r="102" spans="6:9" x14ac:dyDescent="0.2">
      <c r="F102" s="1" vm="304">
        <v>46317.010416666672</v>
      </c>
      <c r="G102" s="1">
        <v>30</v>
      </c>
      <c r="H102" s="1">
        <v>30</v>
      </c>
      <c r="I102" s="1">
        <v>10</v>
      </c>
    </row>
    <row r="103" spans="6:9" x14ac:dyDescent="0.2">
      <c r="F103" s="1" vm="305">
        <v>46317.013888888891</v>
      </c>
      <c r="G103" s="1">
        <v>30</v>
      </c>
      <c r="H103" s="1">
        <v>30</v>
      </c>
      <c r="I103" s="1">
        <v>10</v>
      </c>
    </row>
    <row r="104" spans="6:9" x14ac:dyDescent="0.2">
      <c r="F104" s="1" vm="306">
        <v>46317.017361111109</v>
      </c>
      <c r="G104" s="1">
        <v>30</v>
      </c>
      <c r="H104" s="1">
        <v>30</v>
      </c>
      <c r="I104" s="1">
        <v>10</v>
      </c>
    </row>
    <row r="105" spans="6:9" x14ac:dyDescent="0.2">
      <c r="F105" s="1" vm="307">
        <v>46317.020833333328</v>
      </c>
      <c r="G105" s="1">
        <v>30</v>
      </c>
      <c r="H105" s="1">
        <v>30</v>
      </c>
      <c r="I105" s="1">
        <v>10</v>
      </c>
    </row>
    <row r="106" spans="6:9" x14ac:dyDescent="0.2">
      <c r="F106" s="1" vm="308">
        <v>46317.024305555555</v>
      </c>
      <c r="G106" s="1">
        <v>30</v>
      </c>
      <c r="H106" s="1">
        <v>30</v>
      </c>
      <c r="I106" s="1">
        <v>10</v>
      </c>
    </row>
    <row r="107" spans="6:9" x14ac:dyDescent="0.2">
      <c r="F107" s="1" vm="309">
        <v>46317.027777777781</v>
      </c>
      <c r="G107" s="1">
        <v>0</v>
      </c>
      <c r="H107" s="1">
        <v>30</v>
      </c>
      <c r="I107" s="1">
        <v>10</v>
      </c>
    </row>
    <row r="108" spans="6:9" x14ac:dyDescent="0.2">
      <c r="F108" s="1" vm="310">
        <v>46317.03125</v>
      </c>
      <c r="G108" s="1">
        <v>0</v>
      </c>
      <c r="H108" s="1">
        <v>30</v>
      </c>
      <c r="I108" s="1">
        <v>10</v>
      </c>
    </row>
    <row r="109" spans="6:9" x14ac:dyDescent="0.2">
      <c r="F109" s="1" vm="311">
        <v>46317.034722222219</v>
      </c>
      <c r="G109" s="1">
        <v>0</v>
      </c>
      <c r="H109" s="1">
        <v>0</v>
      </c>
      <c r="I109" s="1">
        <v>10</v>
      </c>
    </row>
    <row r="110" spans="6:9" x14ac:dyDescent="0.2">
      <c r="F110" s="1" vm="312">
        <v>46317.038194444445</v>
      </c>
      <c r="G110" s="1">
        <v>0</v>
      </c>
      <c r="H110" s="1">
        <v>0</v>
      </c>
      <c r="I110" s="1">
        <v>20</v>
      </c>
    </row>
    <row r="111" spans="6:9" x14ac:dyDescent="0.2">
      <c r="F111" s="1" vm="313">
        <v>46317.041666666672</v>
      </c>
      <c r="G111" s="1">
        <v>0</v>
      </c>
      <c r="H111" s="1">
        <v>0</v>
      </c>
      <c r="I111" s="1">
        <v>20</v>
      </c>
    </row>
    <row r="112" spans="6:9" x14ac:dyDescent="0.2">
      <c r="F112" s="1" vm="314">
        <v>46317.045138888891</v>
      </c>
      <c r="G112" s="1">
        <v>0</v>
      </c>
      <c r="H112" s="1">
        <v>0</v>
      </c>
      <c r="I112" s="1">
        <v>20</v>
      </c>
    </row>
    <row r="113" spans="6:9" x14ac:dyDescent="0.2">
      <c r="F113" s="1" vm="315">
        <v>46317.048611111109</v>
      </c>
      <c r="G113" s="1">
        <v>0</v>
      </c>
      <c r="H113" s="1">
        <v>0</v>
      </c>
      <c r="I113" s="1">
        <v>20</v>
      </c>
    </row>
    <row r="114" spans="6:9" x14ac:dyDescent="0.2">
      <c r="F114" s="1" vm="316">
        <v>46317.052083333328</v>
      </c>
      <c r="G114" s="1">
        <v>0</v>
      </c>
      <c r="H114" s="1">
        <v>0</v>
      </c>
      <c r="I114" s="1">
        <v>20</v>
      </c>
    </row>
    <row r="115" spans="6:9" x14ac:dyDescent="0.2">
      <c r="F115" s="1" vm="317">
        <v>46317.055555555555</v>
      </c>
      <c r="G115" s="1">
        <v>10</v>
      </c>
      <c r="H115" s="1">
        <v>10</v>
      </c>
      <c r="I115" s="1">
        <v>20</v>
      </c>
    </row>
    <row r="116" spans="6:9" x14ac:dyDescent="0.2">
      <c r="F116" s="1" vm="318">
        <v>46317.059027777781</v>
      </c>
      <c r="G116" s="1">
        <v>10</v>
      </c>
      <c r="H116" s="1">
        <v>10</v>
      </c>
      <c r="I116" s="1">
        <v>20</v>
      </c>
    </row>
    <row r="117" spans="6:9" x14ac:dyDescent="0.2">
      <c r="F117" s="1" vm="319">
        <v>46317.0625</v>
      </c>
      <c r="G117" s="1">
        <v>10</v>
      </c>
      <c r="H117" s="1">
        <v>10</v>
      </c>
      <c r="I117" s="1">
        <v>20</v>
      </c>
    </row>
    <row r="118" spans="6:9" x14ac:dyDescent="0.2">
      <c r="F118" s="1" vm="320">
        <v>46317.065972222219</v>
      </c>
      <c r="G118" s="1">
        <v>10</v>
      </c>
      <c r="H118" s="1">
        <v>10</v>
      </c>
      <c r="I118" s="1">
        <v>20</v>
      </c>
    </row>
    <row r="119" spans="6:9" x14ac:dyDescent="0.2">
      <c r="F119" s="1" vm="321">
        <v>46317.069444444445</v>
      </c>
      <c r="G119" s="1">
        <v>10</v>
      </c>
      <c r="H119" s="1">
        <v>10</v>
      </c>
      <c r="I119" s="1">
        <v>20</v>
      </c>
    </row>
    <row r="120" spans="6:9" x14ac:dyDescent="0.2">
      <c r="F120" s="1" vm="322">
        <v>46317.072916666672</v>
      </c>
      <c r="G120" s="1">
        <v>10</v>
      </c>
      <c r="H120" s="1">
        <v>10</v>
      </c>
      <c r="I120" s="1">
        <v>20</v>
      </c>
    </row>
    <row r="121" spans="6:9" x14ac:dyDescent="0.2">
      <c r="F121" s="1" vm="323">
        <v>46317.076388888891</v>
      </c>
      <c r="G121" s="1">
        <v>10</v>
      </c>
      <c r="H121" s="1">
        <v>10</v>
      </c>
      <c r="I121" s="1">
        <v>20</v>
      </c>
    </row>
    <row r="122" spans="6:9" x14ac:dyDescent="0.2">
      <c r="F122" s="1" vm="324">
        <v>46317.079861111109</v>
      </c>
      <c r="G122" s="1">
        <v>10</v>
      </c>
      <c r="H122" s="1">
        <v>10</v>
      </c>
      <c r="I122" s="1">
        <v>30</v>
      </c>
    </row>
    <row r="123" spans="6:9" x14ac:dyDescent="0.2">
      <c r="F123" s="1" vm="325">
        <v>46317.083333333328</v>
      </c>
      <c r="G123" s="1">
        <v>10</v>
      </c>
      <c r="H123" s="1">
        <v>10</v>
      </c>
      <c r="I123" s="1">
        <v>30</v>
      </c>
    </row>
    <row r="124" spans="6:9" x14ac:dyDescent="0.2">
      <c r="F124" s="1" vm="326">
        <v>46317.086805555555</v>
      </c>
      <c r="G124" s="1">
        <v>10</v>
      </c>
      <c r="H124" s="1">
        <v>20</v>
      </c>
      <c r="I124" s="1">
        <v>30</v>
      </c>
    </row>
    <row r="125" spans="6:9" x14ac:dyDescent="0.2">
      <c r="F125" s="1" vm="327">
        <v>46317.090277777781</v>
      </c>
      <c r="G125" s="1">
        <v>10</v>
      </c>
      <c r="H125" s="1">
        <v>20</v>
      </c>
      <c r="I125" s="1">
        <v>30</v>
      </c>
    </row>
    <row r="126" spans="6:9" x14ac:dyDescent="0.2">
      <c r="F126" s="1" vm="328">
        <v>46317.09375</v>
      </c>
      <c r="G126" s="1">
        <v>10</v>
      </c>
      <c r="H126" s="1">
        <v>20</v>
      </c>
      <c r="I126" s="1">
        <v>30</v>
      </c>
    </row>
    <row r="127" spans="6:9" x14ac:dyDescent="0.2">
      <c r="F127" s="1" vm="329">
        <v>46317.097222222219</v>
      </c>
      <c r="G127" s="1">
        <v>10</v>
      </c>
      <c r="H127" s="1">
        <v>20</v>
      </c>
      <c r="I127" s="1">
        <v>30</v>
      </c>
    </row>
    <row r="128" spans="6:9" x14ac:dyDescent="0.2">
      <c r="F128" s="1" vm="330">
        <v>46317.100694444445</v>
      </c>
      <c r="G128" s="1">
        <v>10</v>
      </c>
      <c r="H128" s="1">
        <v>20</v>
      </c>
      <c r="I128" s="1">
        <v>30</v>
      </c>
    </row>
    <row r="129" spans="6:9" x14ac:dyDescent="0.2">
      <c r="F129" s="1" vm="331">
        <v>46317.104166666672</v>
      </c>
      <c r="G129" s="1">
        <v>10</v>
      </c>
      <c r="H129" s="1">
        <v>20</v>
      </c>
      <c r="I129" s="1">
        <v>30</v>
      </c>
    </row>
    <row r="130" spans="6:9" x14ac:dyDescent="0.2">
      <c r="F130" s="1" vm="332">
        <v>46317.107638888891</v>
      </c>
      <c r="G130" s="1">
        <v>10</v>
      </c>
      <c r="H130" s="1">
        <v>20</v>
      </c>
      <c r="I130" s="1">
        <v>30</v>
      </c>
    </row>
    <row r="131" spans="6:9" x14ac:dyDescent="0.2">
      <c r="F131" s="1" vm="333">
        <v>46317.111111111109</v>
      </c>
      <c r="G131" s="1">
        <v>10</v>
      </c>
      <c r="H131" s="1">
        <v>20</v>
      </c>
      <c r="I131" s="1">
        <v>30</v>
      </c>
    </row>
    <row r="132" spans="6:9" x14ac:dyDescent="0.2">
      <c r="F132" s="1" vm="334">
        <v>46317.114583333328</v>
      </c>
      <c r="G132" s="1">
        <v>20</v>
      </c>
      <c r="H132" s="1">
        <v>20</v>
      </c>
      <c r="I132" s="1">
        <v>0</v>
      </c>
    </row>
    <row r="133" spans="6:9" x14ac:dyDescent="0.2">
      <c r="F133" s="1" vm="335">
        <v>46317.118055555555</v>
      </c>
      <c r="G133" s="1">
        <v>20</v>
      </c>
      <c r="H133" s="1">
        <v>20</v>
      </c>
      <c r="I133" s="1">
        <v>0</v>
      </c>
    </row>
    <row r="134" spans="6:9" x14ac:dyDescent="0.2">
      <c r="F134" s="1" vm="336">
        <v>46317.121527777781</v>
      </c>
      <c r="G134" s="1">
        <v>20</v>
      </c>
      <c r="H134" s="1">
        <v>20</v>
      </c>
      <c r="I134" s="1">
        <v>0</v>
      </c>
    </row>
    <row r="135" spans="6:9" x14ac:dyDescent="0.2">
      <c r="F135" s="1" vm="337">
        <v>46317.125</v>
      </c>
      <c r="G135" s="1">
        <v>20</v>
      </c>
      <c r="H135" s="1">
        <v>20</v>
      </c>
      <c r="I135" s="1">
        <v>0</v>
      </c>
    </row>
    <row r="136" spans="6:9" x14ac:dyDescent="0.2">
      <c r="F136" s="1" vm="338">
        <v>46317.128472222219</v>
      </c>
      <c r="G136" s="1">
        <v>20</v>
      </c>
      <c r="H136" s="1">
        <v>20</v>
      </c>
      <c r="I136" s="1">
        <v>0</v>
      </c>
    </row>
    <row r="137" spans="6:9" x14ac:dyDescent="0.2">
      <c r="F137" s="1" vm="339">
        <v>46317.131944444445</v>
      </c>
      <c r="G137" s="1">
        <v>20</v>
      </c>
      <c r="H137" s="1">
        <v>20</v>
      </c>
      <c r="I137" s="1">
        <v>0</v>
      </c>
    </row>
    <row r="138" spans="6:9" x14ac:dyDescent="0.2">
      <c r="F138" s="1" vm="340">
        <v>46317.135416666672</v>
      </c>
      <c r="G138" s="1">
        <v>20</v>
      </c>
      <c r="H138" s="1">
        <v>20</v>
      </c>
      <c r="I138" s="1">
        <v>0</v>
      </c>
    </row>
    <row r="139" spans="6:9" x14ac:dyDescent="0.2">
      <c r="F139" s="1" vm="341">
        <v>46317.138888888891</v>
      </c>
      <c r="G139" s="1">
        <v>20</v>
      </c>
      <c r="H139" s="1">
        <v>20</v>
      </c>
      <c r="I139" s="1">
        <v>0</v>
      </c>
    </row>
    <row r="140" spans="6:9" x14ac:dyDescent="0.2">
      <c r="F140" s="1" vm="342">
        <v>46317.142361111109</v>
      </c>
      <c r="G140" s="1">
        <v>20</v>
      </c>
      <c r="H140" s="1">
        <v>20</v>
      </c>
      <c r="I140" s="1">
        <v>10</v>
      </c>
    </row>
    <row r="141" spans="6:9" x14ac:dyDescent="0.2">
      <c r="F141" s="1" vm="343">
        <v>46317.145833333328</v>
      </c>
      <c r="G141" s="1">
        <v>20</v>
      </c>
      <c r="H141" s="1">
        <v>20</v>
      </c>
      <c r="I141" s="1">
        <v>10</v>
      </c>
    </row>
    <row r="142" spans="6:9" x14ac:dyDescent="0.2">
      <c r="F142" s="1" vm="344">
        <v>46317.149305555555</v>
      </c>
      <c r="G142" s="1">
        <v>20</v>
      </c>
      <c r="H142" s="1">
        <v>30</v>
      </c>
      <c r="I142" s="1">
        <v>10</v>
      </c>
    </row>
    <row r="143" spans="6:9" x14ac:dyDescent="0.2">
      <c r="F143" s="1" vm="345">
        <v>46317.152777777781</v>
      </c>
      <c r="G143" s="1">
        <v>20</v>
      </c>
      <c r="H143" s="1">
        <v>30</v>
      </c>
      <c r="I143" s="1">
        <v>10</v>
      </c>
    </row>
    <row r="144" spans="6:9" x14ac:dyDescent="0.2">
      <c r="F144" s="1" vm="346">
        <v>46317.15625</v>
      </c>
      <c r="G144" s="1">
        <v>30</v>
      </c>
      <c r="H144" s="1">
        <v>30</v>
      </c>
      <c r="I144" s="1">
        <v>10</v>
      </c>
    </row>
    <row r="145" spans="6:9" x14ac:dyDescent="0.2">
      <c r="F145" s="1" vm="347">
        <v>46317.159722222219</v>
      </c>
      <c r="G145" s="1">
        <v>30</v>
      </c>
      <c r="H145" s="1">
        <v>30</v>
      </c>
      <c r="I145" s="1">
        <v>10</v>
      </c>
    </row>
    <row r="146" spans="6:9" x14ac:dyDescent="0.2">
      <c r="F146" s="1" vm="348">
        <v>46317.163194444445</v>
      </c>
      <c r="G146" s="1">
        <v>30</v>
      </c>
      <c r="H146" s="1">
        <v>30</v>
      </c>
      <c r="I146" s="1">
        <v>10</v>
      </c>
    </row>
    <row r="147" spans="6:9" x14ac:dyDescent="0.2">
      <c r="F147" s="1" vm="349">
        <v>46317.166666666672</v>
      </c>
      <c r="G147" s="1">
        <v>30</v>
      </c>
      <c r="H147" s="1">
        <v>30</v>
      </c>
      <c r="I147" s="1">
        <v>10</v>
      </c>
    </row>
    <row r="148" spans="6:9" x14ac:dyDescent="0.2">
      <c r="F148" s="1" vm="350">
        <v>46317.170138888891</v>
      </c>
      <c r="G148" s="1">
        <v>30</v>
      </c>
      <c r="H148" s="1">
        <v>30</v>
      </c>
      <c r="I148" s="1">
        <v>10</v>
      </c>
    </row>
    <row r="149" spans="6:9" x14ac:dyDescent="0.2">
      <c r="F149" s="1" vm="351">
        <v>46317.173611111109</v>
      </c>
      <c r="G149" s="1">
        <v>30</v>
      </c>
      <c r="H149" s="1">
        <v>30</v>
      </c>
      <c r="I149" s="1">
        <v>10</v>
      </c>
    </row>
    <row r="150" spans="6:9" x14ac:dyDescent="0.2">
      <c r="F150" s="1" vm="352">
        <v>46317.177083333328</v>
      </c>
      <c r="G150" s="1">
        <v>30</v>
      </c>
      <c r="H150" s="1">
        <v>30</v>
      </c>
      <c r="I150" s="1">
        <v>10</v>
      </c>
    </row>
    <row r="151" spans="6:9" x14ac:dyDescent="0.2">
      <c r="F151" s="1" vm="353">
        <v>46317.180555555555</v>
      </c>
      <c r="G151" s="1">
        <v>0</v>
      </c>
      <c r="H151" s="1">
        <v>30</v>
      </c>
      <c r="I151" s="1">
        <v>10</v>
      </c>
    </row>
    <row r="152" spans="6:9" x14ac:dyDescent="0.2">
      <c r="F152" s="1" vm="354">
        <v>46317.184027777781</v>
      </c>
      <c r="G152" s="1">
        <v>0</v>
      </c>
      <c r="H152" s="1">
        <v>30</v>
      </c>
      <c r="I152" s="1">
        <v>20</v>
      </c>
    </row>
    <row r="153" spans="6:9" x14ac:dyDescent="0.2">
      <c r="F153" s="1" vm="355">
        <v>46317.1875</v>
      </c>
      <c r="G153" s="1">
        <v>0</v>
      </c>
      <c r="H153" s="1">
        <v>30</v>
      </c>
      <c r="I153" s="1">
        <v>20</v>
      </c>
    </row>
    <row r="154" spans="6:9" x14ac:dyDescent="0.2">
      <c r="F154" s="1" vm="356">
        <v>46317.190972222219</v>
      </c>
      <c r="G154" s="1">
        <v>0</v>
      </c>
      <c r="H154" s="1">
        <v>0</v>
      </c>
      <c r="I154" s="1">
        <v>20</v>
      </c>
    </row>
    <row r="155" spans="6:9" x14ac:dyDescent="0.2">
      <c r="F155" s="1" vm="357">
        <v>46317.194444444445</v>
      </c>
      <c r="G155" s="1">
        <v>0</v>
      </c>
      <c r="H155" s="1">
        <v>0</v>
      </c>
      <c r="I155" s="1">
        <v>20</v>
      </c>
    </row>
    <row r="156" spans="6:9" x14ac:dyDescent="0.2">
      <c r="F156" s="1" vm="358">
        <v>46317.197916666672</v>
      </c>
      <c r="G156" s="1">
        <v>0</v>
      </c>
      <c r="H156" s="1">
        <v>0</v>
      </c>
      <c r="I156" s="1">
        <v>20</v>
      </c>
    </row>
    <row r="157" spans="6:9" x14ac:dyDescent="0.2">
      <c r="F157" s="1" vm="359">
        <v>46317.201388888891</v>
      </c>
      <c r="G157" s="1">
        <v>0</v>
      </c>
      <c r="H157" s="1">
        <v>0</v>
      </c>
      <c r="I157" s="1">
        <v>20</v>
      </c>
    </row>
    <row r="158" spans="6:9" x14ac:dyDescent="0.2">
      <c r="F158" s="1" vm="360">
        <v>46317.204861111109</v>
      </c>
      <c r="G158" s="1">
        <v>0</v>
      </c>
      <c r="H158" s="1">
        <v>0</v>
      </c>
      <c r="I158" s="1">
        <v>20</v>
      </c>
    </row>
    <row r="159" spans="6:9" x14ac:dyDescent="0.2">
      <c r="F159" s="1" vm="361">
        <v>46317.208333333328</v>
      </c>
      <c r="G159" s="1">
        <v>10</v>
      </c>
      <c r="H159" s="1">
        <v>0</v>
      </c>
      <c r="I159" s="1">
        <v>20</v>
      </c>
    </row>
    <row r="160" spans="6:9" x14ac:dyDescent="0.2">
      <c r="F160" s="1" vm="362">
        <v>46317.211805555555</v>
      </c>
      <c r="G160" s="1">
        <v>10</v>
      </c>
      <c r="H160" s="1">
        <v>0</v>
      </c>
      <c r="I160" s="1">
        <v>20</v>
      </c>
    </row>
    <row r="161" spans="6:9" x14ac:dyDescent="0.2">
      <c r="F161" s="1" vm="363">
        <v>46317.215277777781</v>
      </c>
      <c r="G161" s="1">
        <v>10</v>
      </c>
      <c r="H161" s="1">
        <v>10</v>
      </c>
      <c r="I161" s="1">
        <v>20</v>
      </c>
    </row>
    <row r="162" spans="6:9" x14ac:dyDescent="0.2">
      <c r="F162" s="1" vm="364">
        <v>46317.21875</v>
      </c>
      <c r="G162" s="1">
        <v>10</v>
      </c>
      <c r="H162" s="1">
        <v>10</v>
      </c>
      <c r="I162" s="1">
        <v>20</v>
      </c>
    </row>
    <row r="163" spans="6:9" x14ac:dyDescent="0.2">
      <c r="F163" s="1" vm="365">
        <v>46317.222222222219</v>
      </c>
      <c r="G163" s="1">
        <v>10</v>
      </c>
      <c r="H163" s="1">
        <v>10</v>
      </c>
      <c r="I163" s="1">
        <v>20</v>
      </c>
    </row>
    <row r="164" spans="6:9" x14ac:dyDescent="0.2">
      <c r="F164" s="1" vm="366">
        <v>46317.225694444445</v>
      </c>
      <c r="G164" s="1">
        <v>10</v>
      </c>
      <c r="H164" s="1">
        <v>10</v>
      </c>
      <c r="I164" s="1">
        <v>20</v>
      </c>
    </row>
    <row r="165" spans="6:9" x14ac:dyDescent="0.2">
      <c r="F165" s="1" vm="367">
        <v>46317.229166666672</v>
      </c>
      <c r="G165" s="1">
        <v>10</v>
      </c>
      <c r="H165" s="1">
        <v>10</v>
      </c>
      <c r="I165" s="1">
        <v>20</v>
      </c>
    </row>
    <row r="166" spans="6:9" x14ac:dyDescent="0.2">
      <c r="F166" s="1" vm="368">
        <v>46317.232638888891</v>
      </c>
      <c r="G166" s="1">
        <v>10</v>
      </c>
      <c r="H166" s="1">
        <v>10</v>
      </c>
      <c r="I166" s="1">
        <v>20</v>
      </c>
    </row>
    <row r="167" spans="6:9" x14ac:dyDescent="0.2">
      <c r="F167" s="1" vm="369">
        <v>46317.236111111109</v>
      </c>
      <c r="G167" s="1">
        <v>10</v>
      </c>
      <c r="H167" s="1">
        <v>10</v>
      </c>
      <c r="I167" s="1">
        <v>20</v>
      </c>
    </row>
    <row r="168" spans="6:9" x14ac:dyDescent="0.2">
      <c r="F168" s="1" vm="370">
        <v>46317.239583333328</v>
      </c>
      <c r="G168" s="1">
        <v>10</v>
      </c>
      <c r="H168" s="1">
        <v>10</v>
      </c>
      <c r="I168" s="1">
        <v>30</v>
      </c>
    </row>
    <row r="169" spans="6:9" x14ac:dyDescent="0.2">
      <c r="F169" s="1" vm="371">
        <v>46317.243055555555</v>
      </c>
      <c r="G169" s="1">
        <v>10</v>
      </c>
      <c r="H169" s="1">
        <v>10</v>
      </c>
      <c r="I169" s="1">
        <v>30</v>
      </c>
    </row>
    <row r="170" spans="6:9" x14ac:dyDescent="0.2">
      <c r="F170" s="1" vm="372">
        <v>46317.246527777781</v>
      </c>
      <c r="G170" s="1">
        <v>10</v>
      </c>
      <c r="H170" s="1">
        <v>20</v>
      </c>
      <c r="I170" s="1">
        <v>30</v>
      </c>
    </row>
    <row r="171" spans="6:9" x14ac:dyDescent="0.2">
      <c r="F171" s="1" vm="373">
        <v>46317.25</v>
      </c>
      <c r="G171" s="1">
        <v>10</v>
      </c>
      <c r="H171" s="1">
        <v>20</v>
      </c>
      <c r="I171" s="1">
        <v>30</v>
      </c>
    </row>
    <row r="172" spans="6:9" x14ac:dyDescent="0.2">
      <c r="F172" s="1" vm="374">
        <v>46317.253472222219</v>
      </c>
      <c r="G172" s="1">
        <v>10</v>
      </c>
      <c r="H172" s="1">
        <v>20</v>
      </c>
      <c r="I172" s="1">
        <v>30</v>
      </c>
    </row>
    <row r="173" spans="6:9" x14ac:dyDescent="0.2">
      <c r="F173" s="1" vm="375">
        <v>46317.256944444445</v>
      </c>
      <c r="G173" s="1">
        <v>10</v>
      </c>
      <c r="H173" s="1">
        <v>20</v>
      </c>
      <c r="I173" s="1">
        <v>30</v>
      </c>
    </row>
    <row r="174" spans="6:9" x14ac:dyDescent="0.2">
      <c r="F174" s="1" vm="376">
        <v>46317.260416666672</v>
      </c>
      <c r="G174" s="1">
        <v>10</v>
      </c>
      <c r="H174" s="1">
        <v>20</v>
      </c>
      <c r="I174" s="1">
        <v>30</v>
      </c>
    </row>
    <row r="175" spans="6:9" x14ac:dyDescent="0.2">
      <c r="F175" s="1" vm="377">
        <v>46317.263888888891</v>
      </c>
      <c r="G175" s="1">
        <v>10</v>
      </c>
      <c r="H175" s="1">
        <v>20</v>
      </c>
      <c r="I175" s="1">
        <v>30</v>
      </c>
    </row>
    <row r="176" spans="6:9" x14ac:dyDescent="0.2">
      <c r="F176" s="1" vm="378">
        <v>46317.267361111109</v>
      </c>
      <c r="G176" s="1">
        <v>10</v>
      </c>
      <c r="H176" s="1">
        <v>20</v>
      </c>
      <c r="I176" s="1">
        <v>30</v>
      </c>
    </row>
    <row r="177" spans="6:9" x14ac:dyDescent="0.2">
      <c r="F177" s="1" vm="379">
        <v>46317.270833333328</v>
      </c>
      <c r="G177" s="1">
        <v>10</v>
      </c>
      <c r="H177" s="1">
        <v>20</v>
      </c>
      <c r="I177" s="1">
        <v>30</v>
      </c>
    </row>
    <row r="178" spans="6:9" x14ac:dyDescent="0.2">
      <c r="F178" s="1" vm="380">
        <v>46317.274305555555</v>
      </c>
      <c r="G178" s="1">
        <v>10</v>
      </c>
      <c r="H178" s="1">
        <v>20</v>
      </c>
      <c r="I178" s="1">
        <v>30</v>
      </c>
    </row>
    <row r="179" spans="6:9" x14ac:dyDescent="0.2">
      <c r="F179" s="1" vm="381">
        <v>46317.277777777781</v>
      </c>
      <c r="G179" s="1">
        <v>10</v>
      </c>
      <c r="H179" s="1">
        <v>20</v>
      </c>
      <c r="I179" s="1">
        <v>30</v>
      </c>
    </row>
    <row r="180" spans="6:9" x14ac:dyDescent="0.2">
      <c r="F180" s="1" vm="382">
        <v>46317.28125</v>
      </c>
      <c r="G180" s="1">
        <v>10</v>
      </c>
      <c r="H180" s="1">
        <v>20</v>
      </c>
      <c r="I180" s="1">
        <v>30</v>
      </c>
    </row>
    <row r="181" spans="6:9" x14ac:dyDescent="0.2">
      <c r="F181" s="1" vm="383">
        <v>46317.284722222219</v>
      </c>
      <c r="G181" s="1">
        <v>20</v>
      </c>
      <c r="H181" s="1">
        <v>20</v>
      </c>
      <c r="I181" s="1">
        <v>30</v>
      </c>
    </row>
    <row r="182" spans="6:9" x14ac:dyDescent="0.2">
      <c r="F182" s="1" vm="384">
        <v>46317.288194444445</v>
      </c>
      <c r="G182" s="1">
        <v>20</v>
      </c>
      <c r="H182" s="1">
        <v>20</v>
      </c>
      <c r="I182" s="1">
        <v>30</v>
      </c>
    </row>
    <row r="183" spans="6:9" x14ac:dyDescent="0.2">
      <c r="F183" s="1" vm="385">
        <v>46317.291666666672</v>
      </c>
      <c r="G183" s="1">
        <v>20</v>
      </c>
      <c r="H183" s="1">
        <v>20</v>
      </c>
      <c r="I183" s="1">
        <v>30</v>
      </c>
    </row>
    <row r="184" spans="6:9" x14ac:dyDescent="0.2">
      <c r="F184" s="1" vm="386">
        <v>46317.295138888891</v>
      </c>
      <c r="G184" s="1">
        <v>20</v>
      </c>
      <c r="H184" s="1">
        <v>20</v>
      </c>
      <c r="I184" s="1">
        <v>0</v>
      </c>
    </row>
    <row r="185" spans="6:9" x14ac:dyDescent="0.2">
      <c r="F185" s="1" vm="387">
        <v>46317.298611111109</v>
      </c>
      <c r="G185" s="1">
        <v>20</v>
      </c>
      <c r="H185" s="1">
        <v>20</v>
      </c>
      <c r="I185" s="1">
        <v>0</v>
      </c>
    </row>
    <row r="186" spans="6:9" x14ac:dyDescent="0.2">
      <c r="F186" s="1" vm="388">
        <v>46317.302083333328</v>
      </c>
      <c r="G186" s="1">
        <v>20</v>
      </c>
      <c r="H186" s="1">
        <v>20</v>
      </c>
      <c r="I186" s="1">
        <v>0</v>
      </c>
    </row>
    <row r="187" spans="6:9" x14ac:dyDescent="0.2">
      <c r="F187" s="1" vm="389">
        <v>46317.305555555555</v>
      </c>
      <c r="G187" s="1">
        <v>20</v>
      </c>
      <c r="H187" s="1">
        <v>20</v>
      </c>
      <c r="I187" s="1">
        <v>0</v>
      </c>
    </row>
    <row r="188" spans="6:9" x14ac:dyDescent="0.2">
      <c r="F188" s="1" vm="390">
        <v>46317.309027777781</v>
      </c>
      <c r="G188" s="1">
        <v>20</v>
      </c>
      <c r="H188" s="1">
        <v>20</v>
      </c>
      <c r="I188" s="1">
        <v>0</v>
      </c>
    </row>
    <row r="189" spans="6:9" x14ac:dyDescent="0.2">
      <c r="F189" s="1" vm="391">
        <v>46317.3125</v>
      </c>
      <c r="G189" s="1">
        <v>20</v>
      </c>
      <c r="H189" s="1">
        <v>20</v>
      </c>
      <c r="I189" s="1">
        <v>10</v>
      </c>
    </row>
    <row r="190" spans="6:9" x14ac:dyDescent="0.2">
      <c r="F190" s="1" vm="392">
        <v>46317.315972222219</v>
      </c>
      <c r="G190" s="1">
        <v>20</v>
      </c>
      <c r="H190" s="1">
        <v>20</v>
      </c>
      <c r="I190" s="1">
        <v>10</v>
      </c>
    </row>
    <row r="191" spans="6:9" x14ac:dyDescent="0.2">
      <c r="F191" s="1" vm="393">
        <v>46317.319444444445</v>
      </c>
      <c r="G191" s="1">
        <v>20</v>
      </c>
      <c r="H191" s="1">
        <v>20</v>
      </c>
      <c r="I191" s="1">
        <v>10</v>
      </c>
    </row>
    <row r="192" spans="6:9" x14ac:dyDescent="0.2">
      <c r="F192" s="1" vm="394">
        <v>46317.322916666672</v>
      </c>
      <c r="G192" s="1">
        <v>20</v>
      </c>
      <c r="H192" s="1">
        <v>20</v>
      </c>
      <c r="I192" s="1">
        <v>10</v>
      </c>
    </row>
    <row r="193" spans="6:9" x14ac:dyDescent="0.2">
      <c r="F193" s="1" vm="395">
        <v>46317.326388888891</v>
      </c>
      <c r="G193" s="1">
        <v>20</v>
      </c>
      <c r="H193" s="1">
        <v>20</v>
      </c>
      <c r="I193" s="1">
        <v>10</v>
      </c>
    </row>
    <row r="194" spans="6:9" x14ac:dyDescent="0.2">
      <c r="F194" s="1" vm="396">
        <v>46317.329861111109</v>
      </c>
      <c r="G194" s="1">
        <v>20</v>
      </c>
      <c r="H194" s="1">
        <v>20</v>
      </c>
      <c r="I194" s="1">
        <v>10</v>
      </c>
    </row>
    <row r="195" spans="6:9" x14ac:dyDescent="0.2">
      <c r="F195" s="1" vm="397">
        <v>46317.333333333328</v>
      </c>
      <c r="G195" s="1">
        <v>20</v>
      </c>
      <c r="H195" s="1">
        <v>20</v>
      </c>
      <c r="I195" s="1">
        <v>10</v>
      </c>
    </row>
    <row r="196" spans="6:9" x14ac:dyDescent="0.2">
      <c r="F196" s="1" vm="398">
        <v>46317.336805555555</v>
      </c>
      <c r="G196" s="1">
        <v>20</v>
      </c>
      <c r="H196" s="1">
        <v>20</v>
      </c>
      <c r="I196" s="1">
        <v>10</v>
      </c>
    </row>
    <row r="197" spans="6:9" x14ac:dyDescent="0.2">
      <c r="F197" s="1" vm="399">
        <v>46317.340277777781</v>
      </c>
      <c r="G197" s="1">
        <v>20</v>
      </c>
      <c r="H197" s="1">
        <v>20</v>
      </c>
      <c r="I197" s="1">
        <v>10</v>
      </c>
    </row>
    <row r="198" spans="6:9" x14ac:dyDescent="0.2">
      <c r="F198" s="1" vm="400">
        <v>46317.34375</v>
      </c>
      <c r="G198" s="1">
        <v>20</v>
      </c>
      <c r="H198" s="1">
        <v>20</v>
      </c>
      <c r="I198" s="1">
        <v>10</v>
      </c>
    </row>
    <row r="199" spans="6:9" x14ac:dyDescent="0.2">
      <c r="F199" s="1" vm="401">
        <v>46317.347222222219</v>
      </c>
      <c r="G199" s="1">
        <v>20</v>
      </c>
      <c r="H199" s="1">
        <v>30</v>
      </c>
      <c r="I199" s="1">
        <v>10</v>
      </c>
    </row>
    <row r="200" spans="6:9" x14ac:dyDescent="0.2">
      <c r="F200" s="1" vm="402">
        <v>46317.350694444445</v>
      </c>
      <c r="G200" s="1">
        <v>20</v>
      </c>
      <c r="H200" s="1">
        <v>30</v>
      </c>
      <c r="I200" s="1">
        <v>10</v>
      </c>
    </row>
    <row r="201" spans="6:9" x14ac:dyDescent="0.2">
      <c r="F201" s="1" vm="403">
        <v>46317.354166666672</v>
      </c>
      <c r="G201" s="1">
        <v>20</v>
      </c>
      <c r="H201" s="1">
        <v>30</v>
      </c>
      <c r="I201" s="1">
        <v>10</v>
      </c>
    </row>
    <row r="202" spans="6:9" x14ac:dyDescent="0.2">
      <c r="F202" s="1" vm="404">
        <v>46317.357638888891</v>
      </c>
      <c r="G202" s="1">
        <v>20</v>
      </c>
      <c r="H202" s="1">
        <v>30</v>
      </c>
      <c r="I202" s="1">
        <v>20</v>
      </c>
    </row>
    <row r="203" spans="6:9" x14ac:dyDescent="0.2">
      <c r="F203" s="1" vm="405">
        <v>46317.361111111109</v>
      </c>
      <c r="G203" s="1">
        <v>20</v>
      </c>
      <c r="H203" s="1">
        <v>30</v>
      </c>
      <c r="I203" s="1">
        <v>20</v>
      </c>
    </row>
    <row r="204" spans="6:9" x14ac:dyDescent="0.2">
      <c r="F204" s="1" vm="406">
        <v>46317.364583333328</v>
      </c>
      <c r="G204" s="1">
        <v>20</v>
      </c>
      <c r="H204" s="1">
        <v>30</v>
      </c>
      <c r="I204" s="1">
        <v>20</v>
      </c>
    </row>
    <row r="205" spans="6:9" x14ac:dyDescent="0.2">
      <c r="F205" s="1" vm="407">
        <v>46317.368055555555</v>
      </c>
      <c r="G205" s="1">
        <v>20</v>
      </c>
      <c r="H205" s="1">
        <v>30</v>
      </c>
      <c r="I205" s="1">
        <v>20</v>
      </c>
    </row>
    <row r="206" spans="6:9" x14ac:dyDescent="0.2">
      <c r="F206" s="1" vm="408">
        <v>46317.371527777781</v>
      </c>
      <c r="G206" s="1">
        <v>20</v>
      </c>
      <c r="H206" s="1">
        <v>30</v>
      </c>
      <c r="I206" s="1">
        <v>20</v>
      </c>
    </row>
    <row r="207" spans="6:9" x14ac:dyDescent="0.2">
      <c r="F207" s="1" vm="409">
        <v>46317.375</v>
      </c>
      <c r="G207" s="1">
        <v>20</v>
      </c>
      <c r="H207" s="1">
        <v>30</v>
      </c>
      <c r="I207" s="1">
        <v>20</v>
      </c>
    </row>
    <row r="208" spans="6:9" x14ac:dyDescent="0.2">
      <c r="F208" s="1" vm="410">
        <v>46317.378472222219</v>
      </c>
      <c r="G208" s="1">
        <v>20</v>
      </c>
      <c r="H208" s="1">
        <v>30</v>
      </c>
      <c r="I208" s="1">
        <v>20</v>
      </c>
    </row>
    <row r="209" spans="6:9" x14ac:dyDescent="0.2">
      <c r="F209" s="1" vm="411">
        <v>46317.381944444445</v>
      </c>
      <c r="G209" s="1">
        <v>20</v>
      </c>
      <c r="H209" s="1">
        <v>0</v>
      </c>
      <c r="I209" s="1">
        <v>20</v>
      </c>
    </row>
    <row r="210" spans="6:9" x14ac:dyDescent="0.2">
      <c r="F210" s="1" vm="412">
        <v>46317.385416666672</v>
      </c>
      <c r="G210" s="1">
        <v>30</v>
      </c>
      <c r="H210" s="1">
        <v>0</v>
      </c>
      <c r="I210" s="1">
        <v>20</v>
      </c>
    </row>
    <row r="211" spans="6:9" x14ac:dyDescent="0.2">
      <c r="F211" s="1" vm="413">
        <v>46317.388888888891</v>
      </c>
      <c r="G211" s="1">
        <v>30</v>
      </c>
      <c r="H211" s="1">
        <v>0</v>
      </c>
      <c r="I211" s="1">
        <v>20</v>
      </c>
    </row>
    <row r="212" spans="6:9" x14ac:dyDescent="0.2">
      <c r="F212" s="1" vm="414">
        <v>46317.392361111109</v>
      </c>
      <c r="G212" s="1">
        <v>30</v>
      </c>
      <c r="H212" s="1">
        <v>0</v>
      </c>
      <c r="I212" s="1">
        <v>20</v>
      </c>
    </row>
    <row r="213" spans="6:9" x14ac:dyDescent="0.2">
      <c r="F213" s="1" vm="415">
        <v>46317.395833333328</v>
      </c>
      <c r="G213" s="1">
        <v>30</v>
      </c>
      <c r="H213" s="1">
        <v>0</v>
      </c>
      <c r="I213" s="1">
        <v>20</v>
      </c>
    </row>
    <row r="214" spans="6:9" x14ac:dyDescent="0.2">
      <c r="F214" s="1" vm="416">
        <v>46317.399305555555</v>
      </c>
      <c r="G214" s="1">
        <v>30</v>
      </c>
      <c r="H214" s="1">
        <v>10</v>
      </c>
      <c r="I214" s="1">
        <v>20</v>
      </c>
    </row>
    <row r="215" spans="6:9" x14ac:dyDescent="0.2">
      <c r="F215" s="1" vm="417">
        <v>46317.402777777781</v>
      </c>
      <c r="G215" s="1">
        <v>30</v>
      </c>
      <c r="H215" s="1">
        <v>10</v>
      </c>
      <c r="I215" s="1">
        <v>20</v>
      </c>
    </row>
    <row r="216" spans="6:9" x14ac:dyDescent="0.2">
      <c r="F216" s="1" vm="418">
        <v>46317.40625</v>
      </c>
      <c r="G216" s="1">
        <v>30</v>
      </c>
      <c r="H216" s="1">
        <v>10</v>
      </c>
      <c r="I216" s="1">
        <v>20</v>
      </c>
    </row>
    <row r="217" spans="6:9" x14ac:dyDescent="0.2">
      <c r="F217" s="1" vm="419">
        <v>46317.409722222219</v>
      </c>
      <c r="G217" s="1">
        <v>30</v>
      </c>
      <c r="H217" s="1">
        <v>10</v>
      </c>
      <c r="I217" s="1">
        <v>20</v>
      </c>
    </row>
    <row r="218" spans="6:9" x14ac:dyDescent="0.2">
      <c r="F218" s="1" vm="420">
        <v>46317.413194444445</v>
      </c>
      <c r="G218" s="1">
        <v>0</v>
      </c>
      <c r="H218" s="1">
        <v>10</v>
      </c>
      <c r="I218" s="1">
        <v>20</v>
      </c>
    </row>
    <row r="219" spans="6:9" x14ac:dyDescent="0.2">
      <c r="F219" s="1" vm="421">
        <v>46317.416666666672</v>
      </c>
      <c r="G219" s="1">
        <v>0</v>
      </c>
      <c r="H219" s="1">
        <v>10</v>
      </c>
      <c r="I219" s="1">
        <v>20</v>
      </c>
    </row>
    <row r="220" spans="6:9" x14ac:dyDescent="0.2">
      <c r="F220" s="1" vm="422">
        <v>46317.420138888891</v>
      </c>
      <c r="G220" s="1">
        <v>0</v>
      </c>
      <c r="H220" s="1">
        <v>10</v>
      </c>
      <c r="I220" s="1">
        <v>30</v>
      </c>
    </row>
    <row r="221" spans="6:9" x14ac:dyDescent="0.2">
      <c r="F221" s="1" vm="423">
        <v>46317.423611111109</v>
      </c>
      <c r="G221" s="1">
        <v>0</v>
      </c>
      <c r="H221" s="1">
        <v>10</v>
      </c>
      <c r="I221" s="1">
        <v>30</v>
      </c>
    </row>
    <row r="222" spans="6:9" x14ac:dyDescent="0.2">
      <c r="F222" s="1" vm="424">
        <v>46317.427083333328</v>
      </c>
      <c r="G222" s="1">
        <v>0</v>
      </c>
      <c r="H222" s="1">
        <v>10</v>
      </c>
      <c r="I222" s="1">
        <v>30</v>
      </c>
    </row>
    <row r="223" spans="6:9" x14ac:dyDescent="0.2">
      <c r="F223" s="1" vm="425">
        <v>46317.430555555555</v>
      </c>
      <c r="G223" s="1">
        <v>0</v>
      </c>
      <c r="H223" s="1">
        <v>10</v>
      </c>
      <c r="I223" s="1">
        <v>30</v>
      </c>
    </row>
    <row r="224" spans="6:9" x14ac:dyDescent="0.2">
      <c r="F224" s="1" vm="426">
        <v>46317.434027777781</v>
      </c>
      <c r="G224" s="1">
        <v>0</v>
      </c>
      <c r="H224" s="1">
        <v>10</v>
      </c>
      <c r="I224" s="1">
        <v>30</v>
      </c>
    </row>
    <row r="225" spans="6:9" x14ac:dyDescent="0.2">
      <c r="F225" s="1" vm="427">
        <v>46317.4375</v>
      </c>
      <c r="G225" s="1">
        <v>0</v>
      </c>
      <c r="H225" s="1">
        <v>10</v>
      </c>
      <c r="I225" s="1">
        <v>30</v>
      </c>
    </row>
    <row r="226" spans="6:9" x14ac:dyDescent="0.2">
      <c r="F226" s="1" vm="428">
        <v>46317.440972222219</v>
      </c>
      <c r="G226" s="1">
        <v>10</v>
      </c>
      <c r="H226" s="1">
        <v>10</v>
      </c>
      <c r="I226" s="1">
        <v>30</v>
      </c>
    </row>
    <row r="227" spans="6:9" x14ac:dyDescent="0.2">
      <c r="F227" s="1" vm="429">
        <v>46317.444444444445</v>
      </c>
      <c r="G227" s="1">
        <v>10</v>
      </c>
      <c r="H227" s="1">
        <v>10</v>
      </c>
      <c r="I227" s="1">
        <v>30</v>
      </c>
    </row>
    <row r="228" spans="6:9" x14ac:dyDescent="0.2">
      <c r="F228" s="1" vm="430">
        <v>46317.447916666672</v>
      </c>
      <c r="G228" s="1">
        <v>10</v>
      </c>
      <c r="H228" s="1">
        <v>10</v>
      </c>
      <c r="I228" s="1">
        <v>30</v>
      </c>
    </row>
    <row r="229" spans="6:9" x14ac:dyDescent="0.2">
      <c r="F229" s="1" vm="431">
        <v>46317.451388888891</v>
      </c>
      <c r="G229" s="1">
        <v>10</v>
      </c>
      <c r="H229" s="1">
        <v>10</v>
      </c>
      <c r="I229" s="1">
        <v>30</v>
      </c>
    </row>
    <row r="230" spans="6:9" x14ac:dyDescent="0.2">
      <c r="F230" s="1" vm="432">
        <v>46317.454861111109</v>
      </c>
      <c r="G230" s="1">
        <v>10</v>
      </c>
      <c r="H230" s="1">
        <v>10</v>
      </c>
      <c r="I230" s="1">
        <v>30</v>
      </c>
    </row>
    <row r="231" spans="6:9" x14ac:dyDescent="0.2">
      <c r="F231" s="1" vm="433">
        <v>46317.458333333328</v>
      </c>
      <c r="G231" s="1">
        <v>10</v>
      </c>
      <c r="H231" s="1">
        <v>10</v>
      </c>
      <c r="I231" s="1">
        <v>30</v>
      </c>
    </row>
    <row r="232" spans="6:9" x14ac:dyDescent="0.2">
      <c r="F232" s="1" vm="434">
        <v>46317.461805555555</v>
      </c>
      <c r="G232" s="1">
        <v>10</v>
      </c>
      <c r="H232" s="1">
        <v>10</v>
      </c>
      <c r="I232" s="1">
        <v>30</v>
      </c>
    </row>
    <row r="233" spans="6:9" x14ac:dyDescent="0.2">
      <c r="F233" s="1" vm="435">
        <v>46317.465277777781</v>
      </c>
      <c r="G233" s="1">
        <v>10</v>
      </c>
      <c r="H233" s="1">
        <v>20</v>
      </c>
      <c r="I233" s="1">
        <v>30</v>
      </c>
    </row>
    <row r="234" spans="6:9" x14ac:dyDescent="0.2">
      <c r="F234" s="1" vm="436">
        <v>46317.46875</v>
      </c>
      <c r="G234" s="1">
        <v>10</v>
      </c>
      <c r="H234" s="1">
        <v>20</v>
      </c>
      <c r="I234" s="1">
        <v>30</v>
      </c>
    </row>
    <row r="235" spans="6:9" x14ac:dyDescent="0.2">
      <c r="F235" s="1" vm="437">
        <v>46317.472222222219</v>
      </c>
      <c r="G235" s="1">
        <v>10</v>
      </c>
      <c r="H235" s="1">
        <v>20</v>
      </c>
      <c r="I235" s="1">
        <v>30</v>
      </c>
    </row>
    <row r="236" spans="6:9" x14ac:dyDescent="0.2">
      <c r="F236" s="1" vm="438">
        <v>46317.475694444445</v>
      </c>
      <c r="G236" s="1">
        <v>10</v>
      </c>
      <c r="H236" s="1">
        <v>20</v>
      </c>
      <c r="I236" s="1">
        <v>0</v>
      </c>
    </row>
    <row r="237" spans="6:9" x14ac:dyDescent="0.2">
      <c r="F237" s="1" vm="439">
        <v>46317.479166666672</v>
      </c>
      <c r="G237" s="1">
        <v>10</v>
      </c>
      <c r="H237" s="1">
        <v>20</v>
      </c>
      <c r="I237" s="1">
        <v>0</v>
      </c>
    </row>
    <row r="238" spans="6:9" x14ac:dyDescent="0.2">
      <c r="F238" s="1" vm="440">
        <v>46317.482638888891</v>
      </c>
      <c r="G238" s="1">
        <v>10</v>
      </c>
      <c r="H238" s="1">
        <v>20</v>
      </c>
      <c r="I238" s="1">
        <v>0</v>
      </c>
    </row>
    <row r="239" spans="6:9" x14ac:dyDescent="0.2">
      <c r="F239" s="1" vm="441">
        <v>46317.486111111109</v>
      </c>
      <c r="G239" s="1">
        <v>10</v>
      </c>
      <c r="H239" s="1">
        <v>20</v>
      </c>
      <c r="I239" s="1">
        <v>0</v>
      </c>
    </row>
    <row r="240" spans="6:9" x14ac:dyDescent="0.2">
      <c r="F240" s="1" vm="442">
        <v>46317.489583333328</v>
      </c>
      <c r="G240" s="1">
        <v>10</v>
      </c>
      <c r="H240" s="1">
        <v>20</v>
      </c>
      <c r="I240" s="1">
        <v>0</v>
      </c>
    </row>
    <row r="241" spans="6:9" x14ac:dyDescent="0.2">
      <c r="F241" s="1" vm="443">
        <v>46317.493055555555</v>
      </c>
      <c r="G241" s="1">
        <v>10</v>
      </c>
      <c r="H241" s="1">
        <v>20</v>
      </c>
      <c r="I241" s="1">
        <v>0</v>
      </c>
    </row>
    <row r="242" spans="6:9" x14ac:dyDescent="0.2">
      <c r="F242" s="1" vm="444">
        <v>46317.496527777781</v>
      </c>
      <c r="G242" s="1">
        <v>10</v>
      </c>
      <c r="H242" s="1">
        <v>20</v>
      </c>
      <c r="I242" s="1">
        <v>0</v>
      </c>
    </row>
    <row r="243" spans="6:9" x14ac:dyDescent="0.2">
      <c r="F243" s="1" vm="445">
        <v>46317.5</v>
      </c>
      <c r="G243" s="1">
        <v>10</v>
      </c>
      <c r="H243" s="1">
        <v>20</v>
      </c>
      <c r="I243" s="1">
        <v>0</v>
      </c>
    </row>
    <row r="244" spans="6:9" x14ac:dyDescent="0.2">
      <c r="F244" s="1" vm="446">
        <v>46317.503472222219</v>
      </c>
      <c r="G244" s="1">
        <v>10</v>
      </c>
      <c r="H244" s="1">
        <v>20</v>
      </c>
      <c r="I244" s="1">
        <v>0</v>
      </c>
    </row>
    <row r="245" spans="6:9" x14ac:dyDescent="0.2">
      <c r="F245" s="1" vm="447">
        <v>46317.506944444445</v>
      </c>
      <c r="G245" s="1">
        <v>10</v>
      </c>
      <c r="H245" s="1">
        <v>20</v>
      </c>
      <c r="I245" s="1">
        <v>10</v>
      </c>
    </row>
    <row r="246" spans="6:9" x14ac:dyDescent="0.2">
      <c r="F246" s="1" vm="448">
        <v>46317.510416666672</v>
      </c>
      <c r="G246" s="1">
        <v>10</v>
      </c>
      <c r="H246" s="1">
        <v>20</v>
      </c>
      <c r="I246" s="1">
        <v>10</v>
      </c>
    </row>
    <row r="247" spans="6:9" x14ac:dyDescent="0.2">
      <c r="F247" s="1" vm="449">
        <v>46317.513888888891</v>
      </c>
      <c r="G247" s="1">
        <v>20</v>
      </c>
      <c r="H247" s="1">
        <v>20</v>
      </c>
      <c r="I247" s="1">
        <v>10</v>
      </c>
    </row>
    <row r="248" spans="6:9" x14ac:dyDescent="0.2">
      <c r="F248" s="1" vm="450">
        <v>46317.517361111109</v>
      </c>
      <c r="G248" s="1">
        <v>20</v>
      </c>
      <c r="H248" s="1">
        <v>20</v>
      </c>
      <c r="I248" s="1">
        <v>10</v>
      </c>
    </row>
    <row r="249" spans="6:9" x14ac:dyDescent="0.2">
      <c r="F249" s="1" vm="451">
        <v>46317.520833333328</v>
      </c>
      <c r="G249" s="1">
        <v>20</v>
      </c>
      <c r="H249" s="1">
        <v>20</v>
      </c>
      <c r="I249" s="1">
        <v>10</v>
      </c>
    </row>
    <row r="250" spans="6:9" x14ac:dyDescent="0.2">
      <c r="F250" s="1" vm="452">
        <v>46317.524305555555</v>
      </c>
      <c r="G250" s="1">
        <v>20</v>
      </c>
      <c r="H250" s="1">
        <v>30</v>
      </c>
      <c r="I250" s="1">
        <v>10</v>
      </c>
    </row>
    <row r="251" spans="6:9" x14ac:dyDescent="0.2">
      <c r="F251" s="1" vm="453">
        <v>46317.527777777781</v>
      </c>
      <c r="G251" s="1">
        <v>20</v>
      </c>
      <c r="H251" s="1">
        <v>30</v>
      </c>
      <c r="I251" s="1">
        <v>10</v>
      </c>
    </row>
    <row r="252" spans="6:9" x14ac:dyDescent="0.2">
      <c r="F252" s="1" vm="454">
        <v>46317.53125</v>
      </c>
      <c r="G252" s="1">
        <v>20</v>
      </c>
      <c r="H252" s="1">
        <v>30</v>
      </c>
      <c r="I252" s="1">
        <v>10</v>
      </c>
    </row>
    <row r="253" spans="6:9" x14ac:dyDescent="0.2">
      <c r="F253" s="1" vm="455">
        <v>46317.534722222219</v>
      </c>
      <c r="G253" s="1">
        <v>20</v>
      </c>
      <c r="H253" s="1">
        <v>30</v>
      </c>
      <c r="I253" s="1">
        <v>10</v>
      </c>
    </row>
    <row r="254" spans="6:9" x14ac:dyDescent="0.2">
      <c r="F254" s="1" vm="456">
        <v>46317.538194444445</v>
      </c>
      <c r="G254" s="1">
        <v>20</v>
      </c>
      <c r="H254" s="1">
        <v>30</v>
      </c>
      <c r="I254" s="1">
        <v>20</v>
      </c>
    </row>
    <row r="255" spans="6:9" x14ac:dyDescent="0.2">
      <c r="F255" s="1" vm="457">
        <v>46317.541666666672</v>
      </c>
      <c r="G255" s="1">
        <v>20</v>
      </c>
      <c r="H255" s="1">
        <v>30</v>
      </c>
      <c r="I255" s="1">
        <v>20</v>
      </c>
    </row>
    <row r="256" spans="6:9" x14ac:dyDescent="0.2">
      <c r="F256" s="1" vm="458">
        <v>46317.545138888891</v>
      </c>
      <c r="G256" s="1">
        <v>20</v>
      </c>
      <c r="H256" s="1">
        <v>30</v>
      </c>
      <c r="I256" s="1">
        <v>20</v>
      </c>
    </row>
    <row r="257" spans="6:9" x14ac:dyDescent="0.2">
      <c r="F257" s="1" vm="459">
        <v>46317.548611111109</v>
      </c>
      <c r="G257" s="1">
        <v>20</v>
      </c>
      <c r="H257" s="1">
        <v>30</v>
      </c>
      <c r="I257" s="1">
        <v>20</v>
      </c>
    </row>
    <row r="258" spans="6:9" x14ac:dyDescent="0.2">
      <c r="F258" s="1" vm="460">
        <v>46317.552083333328</v>
      </c>
      <c r="G258" s="1">
        <v>20</v>
      </c>
      <c r="H258" s="1">
        <v>30</v>
      </c>
      <c r="I258" s="1">
        <v>20</v>
      </c>
    </row>
    <row r="259" spans="6:9" x14ac:dyDescent="0.2">
      <c r="F259" s="1" vm="461">
        <v>46317.555555555555</v>
      </c>
      <c r="G259" s="1">
        <v>30</v>
      </c>
      <c r="H259" s="1">
        <v>30</v>
      </c>
      <c r="I259" s="1">
        <v>20</v>
      </c>
    </row>
    <row r="260" spans="6:9" x14ac:dyDescent="0.2">
      <c r="F260" s="1" vm="462">
        <v>46317.559027777781</v>
      </c>
      <c r="G260" s="1">
        <v>30</v>
      </c>
      <c r="H260" s="1">
        <v>30</v>
      </c>
      <c r="I260" s="1">
        <v>20</v>
      </c>
    </row>
    <row r="261" spans="6:9" x14ac:dyDescent="0.2">
      <c r="F261" s="1" vm="463">
        <v>46317.5625</v>
      </c>
      <c r="G261" s="1">
        <v>30</v>
      </c>
      <c r="H261" s="1">
        <v>30</v>
      </c>
      <c r="I261" s="1">
        <v>20</v>
      </c>
    </row>
    <row r="262" spans="6:9" x14ac:dyDescent="0.2">
      <c r="F262" s="1" vm="464">
        <v>46317.565972222219</v>
      </c>
      <c r="G262" s="1">
        <v>30</v>
      </c>
      <c r="H262" s="1">
        <v>0</v>
      </c>
      <c r="I262" s="1">
        <v>20</v>
      </c>
    </row>
    <row r="263" spans="6:9" x14ac:dyDescent="0.2">
      <c r="F263" s="1" vm="465">
        <v>46317.569444444445</v>
      </c>
      <c r="G263" s="1">
        <v>30</v>
      </c>
      <c r="H263" s="1">
        <v>0</v>
      </c>
      <c r="I263" s="1">
        <v>20</v>
      </c>
    </row>
    <row r="264" spans="6:9" x14ac:dyDescent="0.2">
      <c r="F264" s="1" vm="466">
        <v>46317.572916666672</v>
      </c>
      <c r="G264" s="1">
        <v>30</v>
      </c>
      <c r="H264" s="1">
        <v>0</v>
      </c>
      <c r="I264" s="1">
        <v>20</v>
      </c>
    </row>
    <row r="265" spans="6:9" x14ac:dyDescent="0.2">
      <c r="F265" s="1" vm="467">
        <v>46317.576388888891</v>
      </c>
      <c r="G265" s="1">
        <v>30</v>
      </c>
      <c r="H265" s="1">
        <v>0</v>
      </c>
      <c r="I265" s="1">
        <v>20</v>
      </c>
    </row>
    <row r="266" spans="6:9" x14ac:dyDescent="0.2">
      <c r="F266" s="1" vm="468">
        <v>46317.579861111109</v>
      </c>
      <c r="G266" s="1">
        <v>30</v>
      </c>
      <c r="H266" s="1">
        <v>0</v>
      </c>
      <c r="I266" s="1">
        <v>30</v>
      </c>
    </row>
    <row r="267" spans="6:9" x14ac:dyDescent="0.2">
      <c r="F267" s="1" vm="469">
        <v>46317.583333333328</v>
      </c>
      <c r="G267" s="1">
        <v>30</v>
      </c>
      <c r="H267" s="1">
        <v>0</v>
      </c>
      <c r="I267" s="1">
        <v>30</v>
      </c>
    </row>
    <row r="268" spans="6:9" x14ac:dyDescent="0.2">
      <c r="F268" s="1" vm="470">
        <v>46317.586805555555</v>
      </c>
      <c r="G268" s="1">
        <v>30</v>
      </c>
      <c r="H268" s="1">
        <v>0</v>
      </c>
      <c r="I268" s="1">
        <v>30</v>
      </c>
    </row>
    <row r="269" spans="6:9" x14ac:dyDescent="0.2">
      <c r="F269" s="1" vm="471">
        <v>46317.590277777781</v>
      </c>
      <c r="G269" s="1">
        <v>0</v>
      </c>
      <c r="H269" s="1">
        <v>0</v>
      </c>
      <c r="I269" s="1">
        <v>30</v>
      </c>
    </row>
    <row r="270" spans="6:9" x14ac:dyDescent="0.2">
      <c r="F270" s="1" vm="472">
        <v>46317.59375</v>
      </c>
      <c r="G270" s="1">
        <v>0</v>
      </c>
      <c r="H270" s="1">
        <v>10</v>
      </c>
      <c r="I270" s="1">
        <v>30</v>
      </c>
    </row>
    <row r="271" spans="6:9" x14ac:dyDescent="0.2">
      <c r="F271" s="1" vm="473">
        <v>46317.597222222219</v>
      </c>
      <c r="G271" s="1">
        <v>0</v>
      </c>
      <c r="H271" s="1">
        <v>10</v>
      </c>
      <c r="I271" s="1">
        <v>30</v>
      </c>
    </row>
    <row r="272" spans="6:9" x14ac:dyDescent="0.2">
      <c r="F272" s="1" vm="474">
        <v>46317.600694444445</v>
      </c>
      <c r="G272" s="1">
        <v>0</v>
      </c>
      <c r="H272" s="1">
        <v>10</v>
      </c>
      <c r="I272" s="1">
        <v>30</v>
      </c>
    </row>
    <row r="273" spans="6:9" x14ac:dyDescent="0.2">
      <c r="F273" s="1" vm="475">
        <v>46317.604166666672</v>
      </c>
      <c r="G273" s="1">
        <v>0</v>
      </c>
      <c r="H273" s="1">
        <v>10</v>
      </c>
      <c r="I273" s="1">
        <v>30</v>
      </c>
    </row>
    <row r="274" spans="6:9" x14ac:dyDescent="0.2">
      <c r="F274" s="1" vm="476">
        <v>46317.607638888891</v>
      </c>
      <c r="G274" s="1">
        <v>10</v>
      </c>
      <c r="H274" s="1">
        <v>10</v>
      </c>
      <c r="I274" s="1">
        <v>30</v>
      </c>
    </row>
    <row r="275" spans="6:9" x14ac:dyDescent="0.2">
      <c r="F275" s="1" vm="477">
        <v>46317.611111111109</v>
      </c>
      <c r="G275" s="1">
        <v>10</v>
      </c>
      <c r="H275" s="1">
        <v>10</v>
      </c>
      <c r="I275" s="1">
        <v>30</v>
      </c>
    </row>
    <row r="276" spans="6:9" x14ac:dyDescent="0.2">
      <c r="F276" s="1" vm="478">
        <v>46317.614583333328</v>
      </c>
      <c r="G276" s="1">
        <v>10</v>
      </c>
      <c r="H276" s="1">
        <v>10</v>
      </c>
      <c r="I276" s="1">
        <v>30</v>
      </c>
    </row>
    <row r="277" spans="6:9" x14ac:dyDescent="0.2">
      <c r="F277" s="1" vm="479">
        <v>46317.618055555555</v>
      </c>
      <c r="G277" s="1">
        <v>10</v>
      </c>
      <c r="H277" s="1">
        <v>10</v>
      </c>
      <c r="I277" s="1">
        <v>30</v>
      </c>
    </row>
    <row r="278" spans="6:9" x14ac:dyDescent="0.2">
      <c r="F278" s="1" vm="480">
        <v>46317.621527777781</v>
      </c>
      <c r="G278" s="1">
        <v>10</v>
      </c>
      <c r="H278" s="1">
        <v>10</v>
      </c>
      <c r="I278" s="1">
        <v>30</v>
      </c>
    </row>
    <row r="279" spans="6:9" x14ac:dyDescent="0.2">
      <c r="F279" s="1" vm="481">
        <v>46317.625</v>
      </c>
      <c r="G279" s="1">
        <v>10</v>
      </c>
      <c r="H279" s="1">
        <v>10</v>
      </c>
      <c r="I279" s="1">
        <v>0</v>
      </c>
    </row>
    <row r="280" spans="6:9" x14ac:dyDescent="0.2">
      <c r="F280" s="1" vm="482">
        <v>46317.628472222219</v>
      </c>
      <c r="G280" s="1">
        <v>10</v>
      </c>
      <c r="H280" s="1">
        <v>10</v>
      </c>
      <c r="I280" s="1">
        <v>0</v>
      </c>
    </row>
    <row r="281" spans="6:9" x14ac:dyDescent="0.2">
      <c r="F281" s="1" vm="483">
        <v>46317.631944444445</v>
      </c>
      <c r="G281" s="1">
        <v>10</v>
      </c>
      <c r="H281" s="1">
        <v>20</v>
      </c>
      <c r="I281" s="1">
        <v>0</v>
      </c>
    </row>
    <row r="282" spans="6:9" x14ac:dyDescent="0.2">
      <c r="F282" s="1" vm="484">
        <v>46317.635416666672</v>
      </c>
      <c r="G282" s="1">
        <v>10</v>
      </c>
      <c r="H282" s="1">
        <v>20</v>
      </c>
      <c r="I282" s="1">
        <v>0</v>
      </c>
    </row>
    <row r="283" spans="6:9" x14ac:dyDescent="0.2">
      <c r="F283" s="1" vm="485">
        <v>46317.638888888891</v>
      </c>
      <c r="G283" s="1">
        <v>10</v>
      </c>
      <c r="H283" s="1">
        <v>20</v>
      </c>
      <c r="I283" s="1">
        <v>0</v>
      </c>
    </row>
    <row r="284" spans="6:9" x14ac:dyDescent="0.2">
      <c r="F284" s="1" vm="486">
        <v>46317.642361111109</v>
      </c>
      <c r="G284" s="1">
        <v>10</v>
      </c>
      <c r="H284" s="1">
        <v>20</v>
      </c>
      <c r="I284" s="1">
        <v>10</v>
      </c>
    </row>
    <row r="285" spans="6:9" x14ac:dyDescent="0.2">
      <c r="F285" s="1" vm="487">
        <v>46317.645833333328</v>
      </c>
      <c r="G285" s="1">
        <v>10</v>
      </c>
      <c r="H285" s="1">
        <v>20</v>
      </c>
      <c r="I285" s="1">
        <v>10</v>
      </c>
    </row>
    <row r="286" spans="6:9" x14ac:dyDescent="0.2">
      <c r="F286" s="1" vm="488">
        <v>46317.649305555555</v>
      </c>
      <c r="G286" s="1">
        <v>20</v>
      </c>
      <c r="H286" s="1">
        <v>20</v>
      </c>
      <c r="I286" s="1">
        <v>10</v>
      </c>
    </row>
    <row r="287" spans="6:9" x14ac:dyDescent="0.2">
      <c r="F287" s="1" vm="489">
        <v>46317.652777777781</v>
      </c>
      <c r="G287" s="1">
        <v>20</v>
      </c>
      <c r="H287" s="1">
        <v>20</v>
      </c>
      <c r="I287" s="1">
        <v>10</v>
      </c>
    </row>
    <row r="288" spans="6:9" x14ac:dyDescent="0.2">
      <c r="F288" s="1" vm="490">
        <v>46317.65625</v>
      </c>
      <c r="G288" s="1">
        <v>20</v>
      </c>
      <c r="H288" s="1">
        <v>20</v>
      </c>
      <c r="I288" s="1">
        <v>10</v>
      </c>
    </row>
    <row r="289" spans="6:9" x14ac:dyDescent="0.2">
      <c r="F289" s="1" vm="491">
        <v>46317.659722222219</v>
      </c>
      <c r="G289" s="1">
        <v>20</v>
      </c>
      <c r="H289" s="1">
        <v>20</v>
      </c>
      <c r="I289" s="1">
        <v>10</v>
      </c>
    </row>
    <row r="290" spans="6:9" x14ac:dyDescent="0.2">
      <c r="F290" s="1" vm="492">
        <v>46317.663194444445</v>
      </c>
      <c r="G290" s="1">
        <v>20</v>
      </c>
      <c r="H290" s="1">
        <v>20</v>
      </c>
      <c r="I290" s="1">
        <v>10</v>
      </c>
    </row>
    <row r="291" spans="6:9" x14ac:dyDescent="0.2">
      <c r="F291" s="1" vm="18">
        <v>46317.666666666672</v>
      </c>
      <c r="G291" s="1">
        <v>20</v>
      </c>
      <c r="H291" s="1">
        <v>20</v>
      </c>
      <c r="I291" s="1">
        <v>10</v>
      </c>
    </row>
    <row r="292" spans="6:9" x14ac:dyDescent="0.2">
      <c r="F292" s="1" vm="493">
        <v>46317.670138888891</v>
      </c>
      <c r="G292" s="1">
        <v>20</v>
      </c>
      <c r="H292" s="1">
        <v>30</v>
      </c>
      <c r="I292" s="1">
        <v>10</v>
      </c>
    </row>
    <row r="293" spans="6:9" x14ac:dyDescent="0.2">
      <c r="F293" s="1" vm="494">
        <v>46317.673611111109</v>
      </c>
      <c r="G293" s="1">
        <v>20</v>
      </c>
      <c r="H293" s="1">
        <v>30</v>
      </c>
      <c r="I293" s="1">
        <v>10</v>
      </c>
    </row>
    <row r="294" spans="6:9" x14ac:dyDescent="0.2">
      <c r="F294" s="1" vm="495">
        <v>46317.677083333328</v>
      </c>
      <c r="G294" s="1">
        <v>20</v>
      </c>
      <c r="H294" s="1">
        <v>30</v>
      </c>
      <c r="I294" s="1">
        <v>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F947C-DBF8-4E49-B931-92E467979C23}">
  <dimension ref="A2:Z30"/>
  <sheetViews>
    <sheetView showGridLines="0" workbookViewId="0"/>
  </sheetViews>
  <sheetFormatPr baseColWidth="10" defaultRowHeight="16" x14ac:dyDescent="0.2"/>
  <cols>
    <col min="1" max="1" width="2" style="1" customWidth="1"/>
    <col min="2" max="3" width="50" style="1" customWidth="1"/>
    <col min="4" max="4" width="2" style="1" customWidth="1"/>
    <col min="5" max="5" width="2.6640625" style="1" customWidth="1"/>
    <col min="6" max="6" width="23.33203125" style="1" customWidth="1"/>
    <col min="7" max="26" width="10.83203125" style="1"/>
  </cols>
  <sheetData>
    <row r="2" spans="2:11" ht="27" x14ac:dyDescent="0.2">
      <c r="B2" s="2" t="s">
        <v>190</v>
      </c>
    </row>
    <row r="3" spans="2:11" ht="17" x14ac:dyDescent="0.2">
      <c r="B3" s="3" t="s">
        <v>191</v>
      </c>
    </row>
    <row r="4" spans="2:11" x14ac:dyDescent="0.2">
      <c r="F4" s="10" t="s">
        <v>201</v>
      </c>
    </row>
    <row r="5" spans="2:11" ht="17" x14ac:dyDescent="0.2">
      <c r="B5" s="7" t="s">
        <v>192</v>
      </c>
      <c r="C5" s="7" t="s">
        <v>193</v>
      </c>
      <c r="F5" s="11" t="str">
        <f ca="1">_xlfn.FORMULATEXT(F6)</f>
        <v>=TB.HISTORY(Guide_Dataset, INDEX(Guide_StateTags, 1), Guide_Start,, "1h", "last",,,, "quality,status,samples,good%")</v>
      </c>
    </row>
    <row r="6" spans="2:11" ht="34" x14ac:dyDescent="0.2">
      <c r="B6" s="6" t="s">
        <v>107</v>
      </c>
      <c r="C6" s="6" t="s">
        <v>194</v>
      </c>
      <c r="F6" s="1" t="str" cm="1">
        <f t="array" ref="F6:K30">_xldudf_TB_HISTORY(Guide_Dataset, INDEX(Guide_StateTags, 1), Guide_Start,, "1h", "last",,,, "quality,status,samples,good%")</f>
        <v>Timestamp</v>
      </c>
      <c r="G6" s="1" t="str">
        <v>FL001.State</v>
      </c>
      <c r="H6" s="1" t="str">
        <v>FL001.State Quality</v>
      </c>
      <c r="I6" s="1" t="str">
        <v>FL001.State Status</v>
      </c>
      <c r="J6" s="1" t="str">
        <v>FL001.State Samples</v>
      </c>
      <c r="K6" s="1" t="str">
        <v>FL001.State % Good</v>
      </c>
    </row>
    <row r="7" spans="2:11" ht="17" x14ac:dyDescent="0.2">
      <c r="B7" s="6" t="s">
        <v>195</v>
      </c>
      <c r="C7" s="6" t="s">
        <v>196</v>
      </c>
      <c r="F7" s="1" vm="496">
        <v>46316.679009340281</v>
      </c>
      <c r="G7" s="1">
        <v>20</v>
      </c>
      <c r="H7" s="1">
        <v>192</v>
      </c>
      <c r="I7" s="1" t="str">
        <v>Good</v>
      </c>
      <c r="J7" s="1">
        <v>1</v>
      </c>
      <c r="K7" s="1" vm="497">
        <v>1</v>
      </c>
    </row>
    <row r="8" spans="2:11" ht="17" x14ac:dyDescent="0.2">
      <c r="B8" s="6" t="s">
        <v>197</v>
      </c>
      <c r="C8" s="6" t="s">
        <v>198</v>
      </c>
      <c r="F8" s="1" vm="498">
        <v>46316.720676006946</v>
      </c>
      <c r="G8" s="1" vm="31">
        <v>30</v>
      </c>
      <c r="H8" s="1">
        <v>64</v>
      </c>
      <c r="I8" s="1" t="str">
        <v>Uncertain: store and forward (collector heartbeat lost for 10s)</v>
      </c>
      <c r="J8" s="1">
        <v>2</v>
      </c>
      <c r="K8" s="1" vm="499">
        <v>0.5</v>
      </c>
    </row>
    <row r="9" spans="2:11" ht="34" x14ac:dyDescent="0.2">
      <c r="B9" s="6" t="s">
        <v>199</v>
      </c>
      <c r="C9" s="6" t="s">
        <v>200</v>
      </c>
      <c r="F9" s="1" vm="500">
        <v>46316.76234267361</v>
      </c>
      <c r="G9" s="1">
        <v>10</v>
      </c>
      <c r="H9" s="1">
        <v>192</v>
      </c>
      <c r="I9" s="1" t="str">
        <v>Good</v>
      </c>
      <c r="J9" s="1">
        <v>2</v>
      </c>
      <c r="K9" s="1" vm="497">
        <v>1</v>
      </c>
    </row>
    <row r="10" spans="2:11" x14ac:dyDescent="0.2">
      <c r="F10" s="1" vm="501">
        <v>46316.804009340281</v>
      </c>
      <c r="G10" s="1" vm="23">
        <v>20</v>
      </c>
      <c r="H10" s="1">
        <v>64</v>
      </c>
      <c r="I10" s="1" t="str">
        <v>Uncertain: store and forward (collector heartbeat lost for 10s)</v>
      </c>
      <c r="J10" s="1">
        <v>2</v>
      </c>
      <c r="K10" s="1" vm="499">
        <v>0.5</v>
      </c>
    </row>
    <row r="11" spans="2:11" x14ac:dyDescent="0.2">
      <c r="F11" s="1" vm="502">
        <v>46316.845676006946</v>
      </c>
      <c r="G11" s="1" vm="31">
        <v>30</v>
      </c>
      <c r="H11" s="1">
        <v>64</v>
      </c>
      <c r="I11" s="1" t="str">
        <v>Uncertain: store and forward (collector heartbeat lost for 10s)</v>
      </c>
      <c r="J11" s="1">
        <v>1</v>
      </c>
      <c r="K11" s="1" vm="497">
        <v>1</v>
      </c>
    </row>
    <row r="12" spans="2:11" ht="19" x14ac:dyDescent="0.2">
      <c r="B12" s="5" t="s">
        <v>202</v>
      </c>
      <c r="F12" s="1" vm="503">
        <v>46316.88734267361</v>
      </c>
      <c r="G12" s="1" vm="43">
        <v>10</v>
      </c>
      <c r="H12" s="1">
        <v>64</v>
      </c>
      <c r="I12" s="1" t="str">
        <v>Uncertain: store and forward (collector heartbeat lost for 10s)</v>
      </c>
      <c r="J12" s="1">
        <v>3</v>
      </c>
      <c r="K12" s="1" vm="504">
        <v>0.66666666666666663</v>
      </c>
    </row>
    <row r="13" spans="2:11" ht="68" x14ac:dyDescent="0.2">
      <c r="B13" s="4" t="s">
        <v>203</v>
      </c>
      <c r="F13" s="1" vm="505">
        <v>46316.929009340281</v>
      </c>
      <c r="G13" s="1">
        <v>20</v>
      </c>
      <c r="H13" s="1">
        <v>192</v>
      </c>
      <c r="I13" s="1" t="str">
        <v>Good</v>
      </c>
      <c r="J13" s="1">
        <v>1</v>
      </c>
      <c r="K13" s="1" vm="497">
        <v>1</v>
      </c>
    </row>
    <row r="14" spans="2:11" ht="51" x14ac:dyDescent="0.2">
      <c r="B14" s="4" t="s">
        <v>204</v>
      </c>
      <c r="F14" s="1" vm="506">
        <v>46316.970676006946</v>
      </c>
      <c r="G14" s="1">
        <v>30</v>
      </c>
      <c r="H14" s="1">
        <v>192</v>
      </c>
      <c r="I14" s="1" t="str">
        <v>Good</v>
      </c>
      <c r="J14" s="1">
        <v>1</v>
      </c>
      <c r="K14" s="1" vm="497">
        <v>1</v>
      </c>
    </row>
    <row r="15" spans="2:11" ht="34" x14ac:dyDescent="0.2">
      <c r="B15" s="4" t="s">
        <v>205</v>
      </c>
      <c r="F15" s="1" vm="507">
        <v>46317.01234267361</v>
      </c>
      <c r="G15" s="1">
        <v>10</v>
      </c>
      <c r="H15" s="1">
        <v>192</v>
      </c>
      <c r="I15" s="1" t="str">
        <v>Good</v>
      </c>
      <c r="J15" s="1">
        <v>2</v>
      </c>
      <c r="K15" s="1" vm="497">
        <v>1</v>
      </c>
    </row>
    <row r="16" spans="2:11" x14ac:dyDescent="0.2">
      <c r="F16" s="1" vm="508">
        <v>46317.054009340281</v>
      </c>
      <c r="G16" s="1">
        <v>10</v>
      </c>
      <c r="H16" s="1">
        <v>192</v>
      </c>
      <c r="I16" s="1" t="str">
        <v>Good</v>
      </c>
      <c r="J16" s="1">
        <v>0</v>
      </c>
      <c r="K16" s="1" t="str">
        <v/>
      </c>
    </row>
    <row r="17" spans="6:11" x14ac:dyDescent="0.2">
      <c r="F17" s="1" vm="509">
        <v>46317.095676006946</v>
      </c>
      <c r="G17" s="1">
        <v>20</v>
      </c>
      <c r="H17" s="1">
        <v>192</v>
      </c>
      <c r="I17" s="1" t="str">
        <v>Good</v>
      </c>
      <c r="J17" s="1">
        <v>1</v>
      </c>
      <c r="K17" s="1" vm="497">
        <v>1</v>
      </c>
    </row>
    <row r="18" spans="6:11" x14ac:dyDescent="0.2">
      <c r="F18" s="1" vm="510">
        <v>46317.13734267361</v>
      </c>
      <c r="G18" s="1">
        <v>30</v>
      </c>
      <c r="H18" s="1">
        <v>192</v>
      </c>
      <c r="I18" s="1" t="str">
        <v>Good</v>
      </c>
      <c r="J18" s="1">
        <v>1</v>
      </c>
      <c r="K18" s="1" vm="497">
        <v>1</v>
      </c>
    </row>
    <row r="19" spans="6:11" x14ac:dyDescent="0.2">
      <c r="F19" s="1" vm="511">
        <v>46317.179009340281</v>
      </c>
      <c r="G19" s="1">
        <v>10</v>
      </c>
      <c r="H19" s="1">
        <v>192</v>
      </c>
      <c r="I19" s="1" t="str">
        <v>Good</v>
      </c>
      <c r="J19" s="1">
        <v>2</v>
      </c>
      <c r="K19" s="1" vm="497">
        <v>1</v>
      </c>
    </row>
    <row r="20" spans="6:11" x14ac:dyDescent="0.2">
      <c r="F20" s="1" vm="512">
        <v>46317.220676006946</v>
      </c>
      <c r="G20" s="1" vm="43">
        <v>10</v>
      </c>
      <c r="H20" s="1">
        <v>64</v>
      </c>
      <c r="I20" s="1" t="str">
        <v>Uncertain: store and forward (collector heartbeat lost for 10s)</v>
      </c>
      <c r="J20" s="1">
        <v>1</v>
      </c>
      <c r="K20" s="1" vm="513">
        <v>0</v>
      </c>
    </row>
    <row r="21" spans="6:11" x14ac:dyDescent="0.2">
      <c r="F21" s="1" vm="514">
        <v>46317.26234267361</v>
      </c>
      <c r="G21" s="1" vm="23">
        <v>20</v>
      </c>
      <c r="H21" s="1">
        <v>64</v>
      </c>
      <c r="I21" s="1" t="str">
        <v>Uncertain: store and forward (collector heartbeat lost for 10s)</v>
      </c>
      <c r="J21" s="1">
        <v>2</v>
      </c>
      <c r="K21" s="1" vm="499">
        <v>0.5</v>
      </c>
    </row>
    <row r="22" spans="6:11" x14ac:dyDescent="0.2">
      <c r="F22" s="1" vm="515">
        <v>46317.304009340281</v>
      </c>
      <c r="G22" s="1" vm="23">
        <v>20</v>
      </c>
      <c r="H22" s="1">
        <v>64</v>
      </c>
      <c r="I22" s="1" t="str">
        <v>Uncertain: store and forward (collector heartbeat lost for 10s)</v>
      </c>
      <c r="J22" s="1">
        <v>0</v>
      </c>
      <c r="K22" s="1" t="str">
        <v/>
      </c>
    </row>
    <row r="23" spans="6:11" x14ac:dyDescent="0.2">
      <c r="F23" s="1" vm="516">
        <v>46317.345676006946</v>
      </c>
      <c r="G23" s="1" vm="31">
        <v>30</v>
      </c>
      <c r="H23" s="1">
        <v>64</v>
      </c>
      <c r="I23" s="1" t="str">
        <v>Uncertain: store and forward (collector heartbeat lost for 10s)</v>
      </c>
      <c r="J23" s="1">
        <v>1</v>
      </c>
      <c r="K23" s="1" vm="497">
        <v>1</v>
      </c>
    </row>
    <row r="24" spans="6:11" x14ac:dyDescent="0.2">
      <c r="F24" s="1" vm="517">
        <v>46317.38734267361</v>
      </c>
      <c r="G24" s="1" vm="50">
        <v>0</v>
      </c>
      <c r="H24" s="1">
        <v>64</v>
      </c>
      <c r="I24" s="1" t="str">
        <v>Uncertain: store and forward (collector heartbeat lost for 10s)</v>
      </c>
      <c r="J24" s="1">
        <v>3</v>
      </c>
      <c r="K24" s="1" vm="518">
        <v>0.33333333333333331</v>
      </c>
    </row>
    <row r="25" spans="6:11" x14ac:dyDescent="0.2">
      <c r="F25" s="1" vm="519">
        <v>46317.429009340281</v>
      </c>
      <c r="G25" s="1" vm="43">
        <v>10</v>
      </c>
      <c r="H25" s="1">
        <v>64</v>
      </c>
      <c r="I25" s="1" t="str">
        <v>Uncertain: store and forward (collector heartbeat lost for 10s)</v>
      </c>
      <c r="J25" s="1">
        <v>2</v>
      </c>
      <c r="K25" s="1" vm="499">
        <v>0.5</v>
      </c>
    </row>
    <row r="26" spans="6:11" x14ac:dyDescent="0.2">
      <c r="F26" s="1" vm="520">
        <v>46317.470676006946</v>
      </c>
      <c r="G26" s="1" vm="43">
        <v>10</v>
      </c>
      <c r="H26" s="1">
        <v>64</v>
      </c>
      <c r="I26" s="1" t="str">
        <v>Uncertain: store and forward (collector heartbeat lost for 10s)</v>
      </c>
      <c r="J26" s="1">
        <v>0</v>
      </c>
      <c r="K26" s="1" t="str">
        <v/>
      </c>
    </row>
    <row r="27" spans="6:11" x14ac:dyDescent="0.2">
      <c r="F27" s="1" vm="521">
        <v>46317.51234267361</v>
      </c>
      <c r="G27" s="1" vm="23">
        <v>20</v>
      </c>
      <c r="H27" s="1">
        <v>64</v>
      </c>
      <c r="I27" s="1" t="str">
        <v>Uncertain: store and forward (collector heartbeat lost for 10s)</v>
      </c>
      <c r="J27" s="1">
        <v>2</v>
      </c>
      <c r="K27" s="1" vm="499">
        <v>0.5</v>
      </c>
    </row>
    <row r="28" spans="6:11" x14ac:dyDescent="0.2">
      <c r="F28" s="1" vm="522">
        <v>46317.554009340281</v>
      </c>
      <c r="G28" s="1" vm="50">
        <v>0</v>
      </c>
      <c r="H28" s="1">
        <v>64</v>
      </c>
      <c r="I28" s="1" t="str">
        <v>Uncertain: store and forward (collector heartbeat lost for 10s)</v>
      </c>
      <c r="J28" s="1">
        <v>3</v>
      </c>
      <c r="K28" s="1" vm="504">
        <v>0.66666666666666663</v>
      </c>
    </row>
    <row r="29" spans="6:11" x14ac:dyDescent="0.2">
      <c r="F29" s="1" vm="523">
        <v>46317.595676006946</v>
      </c>
      <c r="G29" s="1" vm="43">
        <v>10</v>
      </c>
      <c r="H29" s="1">
        <v>64</v>
      </c>
      <c r="I29" s="1" t="str">
        <v>Uncertain: store and forward (collector heartbeat lost for 10s)</v>
      </c>
      <c r="J29" s="1">
        <v>2</v>
      </c>
      <c r="K29" s="1" vm="499">
        <v>0.5</v>
      </c>
    </row>
    <row r="30" spans="6:11" x14ac:dyDescent="0.2">
      <c r="F30" s="1" vm="524">
        <v>46317.63734267361</v>
      </c>
      <c r="G30" s="1">
        <v>20</v>
      </c>
      <c r="H30" s="1">
        <v>192</v>
      </c>
      <c r="I30" s="1" t="str">
        <v>Good</v>
      </c>
      <c r="J30" s="1">
        <v>1</v>
      </c>
      <c r="K30" s="1" vm="497">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B2426-2BFF-3041-975B-371EE1DD9BBF}">
  <dimension ref="A2:Z18"/>
  <sheetViews>
    <sheetView showGridLines="0" workbookViewId="0"/>
  </sheetViews>
  <sheetFormatPr baseColWidth="10" defaultRowHeight="16" x14ac:dyDescent="0.2"/>
  <cols>
    <col min="1" max="1" width="2" style="1" customWidth="1"/>
    <col min="2" max="2" width="50" style="1" customWidth="1"/>
    <col min="3" max="3" width="21.6640625" style="1" customWidth="1"/>
    <col min="4" max="4" width="33.33203125" style="1" customWidth="1"/>
    <col min="5" max="5" width="2.6640625" style="1" customWidth="1"/>
    <col min="6" max="6" width="23.33203125" style="1" customWidth="1"/>
    <col min="7" max="26" width="10.83203125" style="1"/>
  </cols>
  <sheetData>
    <row r="2" spans="2:9" ht="27" x14ac:dyDescent="0.2">
      <c r="B2" s="2" t="s">
        <v>206</v>
      </c>
    </row>
    <row r="3" spans="2:9" ht="34" x14ac:dyDescent="0.2">
      <c r="B3" s="3" t="s">
        <v>207</v>
      </c>
    </row>
    <row r="4" spans="2:9" x14ac:dyDescent="0.2">
      <c r="F4" s="10" t="s">
        <v>211</v>
      </c>
    </row>
    <row r="5" spans="2:9" ht="51" x14ac:dyDescent="0.2">
      <c r="B5" s="4" t="s">
        <v>208</v>
      </c>
      <c r="F5" s="11" t="str">
        <f ca="1">_xlfn.FORMULATEXT(F6)</f>
        <v>=TB.SAMPLE(Guide_Dataset, Guide_TagList, "-1h")</v>
      </c>
    </row>
    <row r="6" spans="2:9" x14ac:dyDescent="0.2">
      <c r="F6" s="1" t="str" cm="1">
        <f t="array" ref="F6:I18">_xldudf_TB_SAMPLE(Guide_Dataset, Guide_TagList, "-1h")</f>
        <v>Timestamp</v>
      </c>
      <c r="G6" s="1" t="str">
        <v>FL001.State</v>
      </c>
      <c r="H6" s="1" t="str">
        <v>FL002.State</v>
      </c>
      <c r="I6" s="1" t="str">
        <v>FL003.State</v>
      </c>
    </row>
    <row r="7" spans="2:9" ht="17" x14ac:dyDescent="0.2">
      <c r="B7" s="9" t="s">
        <v>209</v>
      </c>
      <c r="C7" s="12" t="str">
        <f>INDEX(Guide_StateTags,1)</f>
        <v>FL001.State</v>
      </c>
      <c r="D7" s="13" t="s">
        <v>210</v>
      </c>
      <c r="F7" s="1" vm="485">
        <v>46317.638888888891</v>
      </c>
      <c r="G7" s="1">
        <v>10</v>
      </c>
      <c r="H7" s="1">
        <v>20</v>
      </c>
      <c r="I7" s="1">
        <v>0</v>
      </c>
    </row>
    <row r="8" spans="2:9" x14ac:dyDescent="0.2">
      <c r="C8" s="12" t="str">
        <f>INDEX(Guide_StateTags,2)</f>
        <v>FL002.State</v>
      </c>
      <c r="F8" s="1" vm="486">
        <v>46317.642361111109</v>
      </c>
      <c r="G8" s="1">
        <v>10</v>
      </c>
      <c r="H8" s="1">
        <v>20</v>
      </c>
      <c r="I8" s="1">
        <v>10</v>
      </c>
    </row>
    <row r="9" spans="2:9" x14ac:dyDescent="0.2">
      <c r="C9" s="12" t="str">
        <f>INDEX(Guide_StateTags,3)</f>
        <v>FL003.State</v>
      </c>
      <c r="F9" s="1" vm="487">
        <v>46317.645833333328</v>
      </c>
      <c r="G9" s="1">
        <v>10</v>
      </c>
      <c r="H9" s="1">
        <v>20</v>
      </c>
      <c r="I9" s="1">
        <v>10</v>
      </c>
    </row>
    <row r="10" spans="2:9" x14ac:dyDescent="0.2">
      <c r="F10" s="1" vm="488">
        <v>46317.649305555555</v>
      </c>
      <c r="G10" s="1">
        <v>20</v>
      </c>
      <c r="H10" s="1">
        <v>20</v>
      </c>
      <c r="I10" s="1">
        <v>10</v>
      </c>
    </row>
    <row r="11" spans="2:9" ht="34" x14ac:dyDescent="0.2">
      <c r="B11" s="4" t="s">
        <v>212</v>
      </c>
      <c r="F11" s="1" vm="489">
        <v>46317.652777777781</v>
      </c>
      <c r="G11" s="1">
        <v>20</v>
      </c>
      <c r="H11" s="1">
        <v>20</v>
      </c>
      <c r="I11" s="1">
        <v>10</v>
      </c>
    </row>
    <row r="12" spans="2:9" x14ac:dyDescent="0.2">
      <c r="F12" s="1" vm="490">
        <v>46317.65625</v>
      </c>
      <c r="G12" s="1">
        <v>20</v>
      </c>
      <c r="H12" s="1">
        <v>20</v>
      </c>
      <c r="I12" s="1">
        <v>10</v>
      </c>
    </row>
    <row r="13" spans="2:9" x14ac:dyDescent="0.2">
      <c r="F13" s="1" vm="491">
        <v>46317.659722222219</v>
      </c>
      <c r="G13" s="1">
        <v>20</v>
      </c>
      <c r="H13" s="1">
        <v>20</v>
      </c>
      <c r="I13" s="1">
        <v>10</v>
      </c>
    </row>
    <row r="14" spans="2:9" x14ac:dyDescent="0.2">
      <c r="F14" s="1" vm="492">
        <v>46317.663194444445</v>
      </c>
      <c r="G14" s="1">
        <v>20</v>
      </c>
      <c r="H14" s="1">
        <v>20</v>
      </c>
      <c r="I14" s="1">
        <v>10</v>
      </c>
    </row>
    <row r="15" spans="2:9" x14ac:dyDescent="0.2">
      <c r="F15" s="1" vm="18">
        <v>46317.666666666672</v>
      </c>
      <c r="G15" s="1">
        <v>20</v>
      </c>
      <c r="H15" s="1">
        <v>20</v>
      </c>
      <c r="I15" s="1">
        <v>10</v>
      </c>
    </row>
    <row r="16" spans="2:9" x14ac:dyDescent="0.2">
      <c r="F16" s="1" vm="493">
        <v>46317.670138888891</v>
      </c>
      <c r="G16" s="1">
        <v>20</v>
      </c>
      <c r="H16" s="1">
        <v>30</v>
      </c>
      <c r="I16" s="1">
        <v>10</v>
      </c>
    </row>
    <row r="17" spans="6:9" x14ac:dyDescent="0.2">
      <c r="F17" s="1" vm="494">
        <v>46317.673611111109</v>
      </c>
      <c r="G17" s="1">
        <v>20</v>
      </c>
      <c r="H17" s="1">
        <v>30</v>
      </c>
      <c r="I17" s="1">
        <v>10</v>
      </c>
    </row>
    <row r="18" spans="6:9" x14ac:dyDescent="0.2">
      <c r="F18" s="1" vm="495">
        <v>46317.677083333328</v>
      </c>
      <c r="G18" s="1">
        <v>20</v>
      </c>
      <c r="H18" s="1">
        <v>30</v>
      </c>
      <c r="I18" s="1">
        <v>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B4E2-4B76-7649-A937-78CC17DE855F}">
  <dimension ref="A2:Z21"/>
  <sheetViews>
    <sheetView showGridLines="0" workbookViewId="0"/>
  </sheetViews>
  <sheetFormatPr baseColWidth="10" defaultRowHeight="16" x14ac:dyDescent="0.2"/>
  <cols>
    <col min="1" max="1" width="2" style="1" customWidth="1"/>
    <col min="2" max="2" width="43.33203125" style="1" customWidth="1"/>
    <col min="3" max="3" width="50" style="1" customWidth="1"/>
    <col min="4" max="4" width="2" style="1" customWidth="1"/>
    <col min="5" max="5" width="2.6640625" style="1" customWidth="1"/>
    <col min="6" max="26" width="10.83203125" style="1"/>
  </cols>
  <sheetData>
    <row r="2" spans="2:3" ht="27" x14ac:dyDescent="0.2">
      <c r="B2" s="2" t="s">
        <v>30</v>
      </c>
    </row>
    <row r="3" spans="2:3" ht="34" x14ac:dyDescent="0.2">
      <c r="B3" s="3" t="s">
        <v>213</v>
      </c>
    </row>
    <row r="5" spans="2:3" ht="17" x14ac:dyDescent="0.2">
      <c r="B5" s="7" t="s">
        <v>214</v>
      </c>
      <c r="C5" s="7" t="s">
        <v>215</v>
      </c>
    </row>
    <row r="6" spans="2:3" ht="17" x14ac:dyDescent="0.2">
      <c r="B6" s="6" t="s">
        <v>61</v>
      </c>
      <c r="C6" s="6" t="s">
        <v>216</v>
      </c>
    </row>
    <row r="7" spans="2:3" ht="17" x14ac:dyDescent="0.2">
      <c r="B7" s="6" t="s">
        <v>217</v>
      </c>
      <c r="C7" s="6" t="s">
        <v>218</v>
      </c>
    </row>
    <row r="8" spans="2:3" ht="17" x14ac:dyDescent="0.2">
      <c r="B8" s="6" t="s">
        <v>219</v>
      </c>
      <c r="C8" s="6" t="s">
        <v>220</v>
      </c>
    </row>
    <row r="9" spans="2:3" ht="17" x14ac:dyDescent="0.2">
      <c r="B9" s="6" t="s">
        <v>221</v>
      </c>
      <c r="C9" s="6" t="s">
        <v>222</v>
      </c>
    </row>
    <row r="10" spans="2:3" ht="17" x14ac:dyDescent="0.2">
      <c r="B10" s="6" t="s">
        <v>223</v>
      </c>
      <c r="C10" s="6" t="s">
        <v>224</v>
      </c>
    </row>
    <row r="11" spans="2:3" ht="17" x14ac:dyDescent="0.2">
      <c r="B11" s="6" t="s">
        <v>225</v>
      </c>
      <c r="C11" s="6" t="s">
        <v>226</v>
      </c>
    </row>
    <row r="12" spans="2:3" ht="17" x14ac:dyDescent="0.2">
      <c r="B12" s="6" t="s">
        <v>227</v>
      </c>
      <c r="C12" s="6" t="s">
        <v>228</v>
      </c>
    </row>
    <row r="13" spans="2:3" ht="17" x14ac:dyDescent="0.2">
      <c r="B13" s="6" t="s">
        <v>229</v>
      </c>
      <c r="C13" s="6" t="s">
        <v>230</v>
      </c>
    </row>
    <row r="14" spans="2:3" ht="17" x14ac:dyDescent="0.2">
      <c r="B14" s="6" t="s">
        <v>231</v>
      </c>
      <c r="C14" s="6" t="s">
        <v>232</v>
      </c>
    </row>
    <row r="15" spans="2:3" ht="17" x14ac:dyDescent="0.2">
      <c r="B15" s="6" t="s">
        <v>233</v>
      </c>
      <c r="C15" s="6" t="s">
        <v>234</v>
      </c>
    </row>
    <row r="16" spans="2:3" ht="17" x14ac:dyDescent="0.2">
      <c r="B16" s="6" t="s">
        <v>235</v>
      </c>
      <c r="C16" s="6" t="s">
        <v>236</v>
      </c>
    </row>
    <row r="17" spans="2:3" ht="17" x14ac:dyDescent="0.2">
      <c r="B17" s="6" t="s">
        <v>237</v>
      </c>
      <c r="C17" s="6" t="s">
        <v>238</v>
      </c>
    </row>
    <row r="19" spans="2:3" ht="51" x14ac:dyDescent="0.2">
      <c r="B19" s="4" t="s">
        <v>239</v>
      </c>
    </row>
    <row r="20" spans="2:3" ht="51" x14ac:dyDescent="0.2">
      <c r="B20" s="4" t="s">
        <v>240</v>
      </c>
    </row>
    <row r="21" spans="2:3" ht="34" x14ac:dyDescent="0.2">
      <c r="B21" s="4" t="s">
        <v>241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54A49-B432-A242-9C49-8092F83B8050}">
  <dimension ref="A2:Z15"/>
  <sheetViews>
    <sheetView showGridLines="0" workbookViewId="0"/>
  </sheetViews>
  <sheetFormatPr baseColWidth="10" defaultRowHeight="16" x14ac:dyDescent="0.2"/>
  <cols>
    <col min="1" max="1" width="2" style="1" customWidth="1"/>
    <col min="2" max="2" width="43.33203125" style="1" customWidth="1"/>
    <col min="3" max="3" width="50" style="1" customWidth="1"/>
    <col min="4" max="4" width="53.33203125" style="1" customWidth="1"/>
    <col min="5" max="5" width="2.6640625" style="1" customWidth="1"/>
    <col min="6" max="26" width="10.83203125" style="1"/>
  </cols>
  <sheetData>
    <row r="2" spans="2:4" ht="27" x14ac:dyDescent="0.2">
      <c r="B2" s="2" t="s">
        <v>32</v>
      </c>
    </row>
    <row r="3" spans="2:4" ht="17" x14ac:dyDescent="0.2">
      <c r="B3" s="7" t="s">
        <v>242</v>
      </c>
      <c r="C3" s="7" t="s">
        <v>243</v>
      </c>
      <c r="D3" s="7" t="s">
        <v>244</v>
      </c>
    </row>
    <row r="4" spans="2:4" ht="34" x14ac:dyDescent="0.2">
      <c r="B4" s="6" t="s">
        <v>245</v>
      </c>
      <c r="C4" s="6" t="s">
        <v>246</v>
      </c>
      <c r="D4" s="6" t="s">
        <v>247</v>
      </c>
    </row>
    <row r="5" spans="2:4" ht="34" x14ac:dyDescent="0.2">
      <c r="B5" s="6" t="s">
        <v>248</v>
      </c>
      <c r="C5" s="6" t="s">
        <v>249</v>
      </c>
      <c r="D5" s="6" t="s">
        <v>250</v>
      </c>
    </row>
    <row r="6" spans="2:4" ht="34" x14ac:dyDescent="0.2">
      <c r="B6" s="6" t="s">
        <v>251</v>
      </c>
      <c r="C6" s="6" t="s">
        <v>252</v>
      </c>
      <c r="D6" s="6" t="s">
        <v>253</v>
      </c>
    </row>
    <row r="7" spans="2:4" ht="34" x14ac:dyDescent="0.2">
      <c r="B7" s="6" t="s">
        <v>254</v>
      </c>
      <c r="C7" s="6" t="s">
        <v>255</v>
      </c>
      <c r="D7" s="6" t="s">
        <v>256</v>
      </c>
    </row>
    <row r="8" spans="2:4" ht="17" x14ac:dyDescent="0.2">
      <c r="B8" s="6" t="s">
        <v>257</v>
      </c>
      <c r="C8" s="6" t="s">
        <v>258</v>
      </c>
      <c r="D8" s="6" t="s">
        <v>259</v>
      </c>
    </row>
    <row r="9" spans="2:4" ht="17" x14ac:dyDescent="0.2">
      <c r="B9" s="6" t="s">
        <v>260</v>
      </c>
      <c r="C9" s="6" t="s">
        <v>261</v>
      </c>
      <c r="D9" s="6" t="s">
        <v>262</v>
      </c>
    </row>
    <row r="10" spans="2:4" ht="17" x14ac:dyDescent="0.2">
      <c r="B10" s="6" t="s">
        <v>263</v>
      </c>
      <c r="C10" s="6" t="s">
        <v>264</v>
      </c>
      <c r="D10" s="6" t="s">
        <v>265</v>
      </c>
    </row>
    <row r="11" spans="2:4" ht="17" x14ac:dyDescent="0.2">
      <c r="B11" s="6" t="s">
        <v>266</v>
      </c>
      <c r="C11" s="6" t="s">
        <v>267</v>
      </c>
      <c r="D11" s="6" t="s">
        <v>268</v>
      </c>
    </row>
    <row r="12" spans="2:4" ht="34" x14ac:dyDescent="0.2">
      <c r="B12" s="6" t="s">
        <v>269</v>
      </c>
      <c r="C12" s="6" t="s">
        <v>270</v>
      </c>
      <c r="D12" s="6" t="s">
        <v>271</v>
      </c>
    </row>
    <row r="13" spans="2:4" ht="34" x14ac:dyDescent="0.2">
      <c r="B13" s="6" t="s">
        <v>272</v>
      </c>
      <c r="C13" s="6" t="s">
        <v>273</v>
      </c>
      <c r="D13" s="6" t="s">
        <v>274</v>
      </c>
    </row>
    <row r="14" spans="2:4" ht="34" x14ac:dyDescent="0.2">
      <c r="B14" s="14" t="s">
        <v>275</v>
      </c>
      <c r="C14" s="6" t="s">
        <v>276</v>
      </c>
      <c r="D14" s="6" t="s">
        <v>277</v>
      </c>
    </row>
    <row r="15" spans="2:4" ht="17" x14ac:dyDescent="0.2">
      <c r="B15" s="6" t="s">
        <v>278</v>
      </c>
      <c r="C15" s="6" t="s">
        <v>279</v>
      </c>
      <c r="D15" s="6" t="s">
        <v>280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2801-5206-894A-96D8-5A577AD23322}">
  <dimension ref="A2:Z12"/>
  <sheetViews>
    <sheetView showGridLines="0" workbookViewId="0"/>
  </sheetViews>
  <sheetFormatPr baseColWidth="10" defaultRowHeight="16" x14ac:dyDescent="0.2"/>
  <cols>
    <col min="1" max="1" width="2" style="1" customWidth="1"/>
    <col min="2" max="2" width="43.33203125" style="1" customWidth="1"/>
    <col min="3" max="3" width="50" style="1" customWidth="1"/>
    <col min="4" max="4" width="2" style="1" customWidth="1"/>
    <col min="5" max="5" width="2.6640625" style="1" customWidth="1"/>
    <col min="6" max="26" width="10.83203125" style="1"/>
  </cols>
  <sheetData>
    <row r="2" spans="2:3" ht="27" x14ac:dyDescent="0.2">
      <c r="B2" s="2" t="s">
        <v>34</v>
      </c>
    </row>
    <row r="3" spans="2:3" ht="17" x14ac:dyDescent="0.2">
      <c r="B3" s="7" t="s">
        <v>281</v>
      </c>
      <c r="C3" s="7" t="s">
        <v>282</v>
      </c>
    </row>
    <row r="4" spans="2:3" ht="34" x14ac:dyDescent="0.2">
      <c r="B4" s="6" t="s">
        <v>283</v>
      </c>
      <c r="C4" s="6" t="s">
        <v>284</v>
      </c>
    </row>
    <row r="5" spans="2:3" ht="34" x14ac:dyDescent="0.2">
      <c r="B5" s="6" t="s">
        <v>285</v>
      </c>
      <c r="C5" s="6" t="s">
        <v>286</v>
      </c>
    </row>
    <row r="6" spans="2:3" ht="34" x14ac:dyDescent="0.2">
      <c r="B6" s="6" t="s">
        <v>287</v>
      </c>
      <c r="C6" s="6" t="s">
        <v>288</v>
      </c>
    </row>
    <row r="7" spans="2:3" ht="34" x14ac:dyDescent="0.2">
      <c r="B7" s="6" t="s">
        <v>289</v>
      </c>
      <c r="C7" s="6" t="s">
        <v>290</v>
      </c>
    </row>
    <row r="8" spans="2:3" ht="34" x14ac:dyDescent="0.2">
      <c r="B8" s="6" t="s">
        <v>291</v>
      </c>
      <c r="C8" s="6" t="s">
        <v>292</v>
      </c>
    </row>
    <row r="9" spans="2:3" ht="34" x14ac:dyDescent="0.2">
      <c r="B9" s="6" t="s">
        <v>293</v>
      </c>
      <c r="C9" s="6" t="s">
        <v>294</v>
      </c>
    </row>
    <row r="10" spans="2:3" ht="34" x14ac:dyDescent="0.2">
      <c r="B10" s="6" t="s">
        <v>295</v>
      </c>
      <c r="C10" s="6" t="s">
        <v>296</v>
      </c>
    </row>
    <row r="12" spans="2:3" ht="51" x14ac:dyDescent="0.2">
      <c r="B12" s="4" t="s">
        <v>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Welcome</vt:lpstr>
      <vt:lpstr>Setup</vt:lpstr>
      <vt:lpstr>Functions</vt:lpstr>
      <vt:lpstr>1 Current value</vt:lpstr>
      <vt:lpstr>2 Find tags</vt:lpstr>
      <vt:lpstr>3 Raw history</vt:lpstr>
      <vt:lpstr>4 Aggregates</vt:lpstr>
      <vt:lpstr>5 State sampling</vt:lpstr>
      <vt:lpstr>6 Quality</vt:lpstr>
      <vt:lpstr>7 Tags from cells</vt:lpstr>
      <vt:lpstr>Time expressions</vt:lpstr>
      <vt:lpstr>Troubleshooting</vt:lpstr>
      <vt:lpstr>Learn more</vt:lpstr>
      <vt:lpstr>Guide_AnalogTag</vt:lpstr>
      <vt:lpstr>Guide_Dataset</vt:lpstr>
      <vt:lpstr>Guide_Query</vt:lpstr>
      <vt:lpstr>Guide_Start</vt:lpstr>
      <vt:lpstr>Guide_StateTags</vt:lpstr>
      <vt:lpstr>Guide_TagList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 Knepper</cp:lastModifiedBy>
  <dcterms:created xsi:type="dcterms:W3CDTF">2026-10-22T20:18:24Z</dcterms:created>
  <dcterms:modified xsi:type="dcterms:W3CDTF">2026-10-22T20:18:24Z</dcterms:modified>
</cp:coreProperties>
</file>